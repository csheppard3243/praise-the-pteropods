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13_ncr:1_{2FD02BF5-23E1-3944-A491-2184446964E9}" xr6:coauthVersionLast="47" xr6:coauthVersionMax="47" xr10:uidLastSave="{00000000-0000-0000-0000-000000000000}"/>
  <bookViews>
    <workbookView xWindow="8640" yWindow="2260" windowWidth="20080" windowHeight="15740" activeTab="2" xr2:uid="{F4C862C2-342B-0B41-8C63-E12B64784535}"/>
  </bookViews>
  <sheets>
    <sheet name="combined sedimentary pteropods" sheetId="1" r:id="rId1"/>
    <sheet name="Sheet1" sheetId="4" r:id="rId2"/>
    <sheet name="workup for cleaning types" sheetId="2" r:id="rId3"/>
    <sheet name="unit conversion" sheetId="3" r:id="rId4"/>
  </sheets>
  <definedNames>
    <definedName name="_xlchart.v1.0" hidden="1">('workup for cleaning types'!$Y$12,'workup for cleaning types'!$Y$14)</definedName>
    <definedName name="_xlchart.v1.1" hidden="1">('workup for cleaning types'!$Y$3,'workup for cleaning types'!$Y$5)</definedName>
    <definedName name="_xlchart.v1.2" hidden="1">('workup for cleaning types'!$Y$7,'workup for cleaning types'!$Y$8)</definedName>
    <definedName name="_xlchart.v1.3" hidden="1">('workup for cleaning types'!$Y$9,'workup for cleaning types'!$Y$10,'workup for cleaning types'!$Y$11)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 a="1"/>
  <c r="C2" i="4" s="1"/>
  <c r="C3" i="4"/>
  <c r="D3" i="4"/>
  <c r="D4" i="4"/>
  <c r="D5" i="4"/>
  <c r="D6" i="4"/>
  <c r="D7" i="4"/>
  <c r="D8" i="4"/>
  <c r="D9" i="4"/>
  <c r="D10" i="4"/>
  <c r="D11" i="4"/>
  <c r="D12" i="4"/>
  <c r="D13" i="4"/>
  <c r="C4" i="4"/>
  <c r="C5" i="4"/>
  <c r="C6" i="4"/>
  <c r="C7" i="4"/>
  <c r="C8" i="4"/>
  <c r="C9" i="4"/>
  <c r="C10" i="4"/>
  <c r="C11" i="4"/>
  <c r="C12" i="4"/>
  <c r="C13" i="4"/>
  <c r="D2" i="4"/>
  <c r="W14" i="2"/>
  <c r="Y14" i="2" s="1"/>
  <c r="V14" i="2"/>
  <c r="X14" i="2" s="1"/>
  <c r="W12" i="2"/>
  <c r="Y12" i="2" s="1"/>
  <c r="V12" i="2"/>
  <c r="X12" i="2" s="1"/>
  <c r="W11" i="2"/>
  <c r="Y11" i="2" s="1"/>
  <c r="V11" i="2"/>
  <c r="X11" i="2" s="1"/>
  <c r="W10" i="2"/>
  <c r="Y10" i="2" s="1"/>
  <c r="V10" i="2"/>
  <c r="X10" i="2" s="1"/>
  <c r="W9" i="2"/>
  <c r="Y9" i="2" s="1"/>
  <c r="V9" i="2"/>
  <c r="X9" i="2" s="1"/>
  <c r="W8" i="2"/>
  <c r="Y8" i="2" s="1"/>
  <c r="V8" i="2"/>
  <c r="X8" i="2" s="1"/>
  <c r="W7" i="2"/>
  <c r="Y7" i="2" s="1"/>
  <c r="V7" i="2"/>
  <c r="X7" i="2" s="1"/>
  <c r="Y6" i="2"/>
  <c r="W6" i="2"/>
  <c r="V6" i="2"/>
  <c r="X6" i="2" s="1"/>
  <c r="W5" i="2"/>
  <c r="Y5" i="2" s="1"/>
  <c r="V5" i="2"/>
  <c r="X5" i="2" s="1"/>
  <c r="W4" i="2"/>
  <c r="Y4" i="2" s="1"/>
  <c r="V4" i="2"/>
  <c r="X4" i="2" s="1"/>
  <c r="W3" i="2"/>
  <c r="Y3" i="2" s="1"/>
  <c r="V3" i="2"/>
  <c r="X3" i="2" s="1"/>
  <c r="V3" i="1"/>
  <c r="X3" i="1" s="1"/>
  <c r="Z3" i="1" s="1"/>
  <c r="AB3" i="1" s="1"/>
  <c r="W4" i="1"/>
  <c r="Y4" i="1" s="1"/>
  <c r="AA4" i="1" s="1"/>
  <c r="W5" i="1"/>
  <c r="Y5" i="1" s="1"/>
  <c r="AA5" i="1" s="1"/>
  <c r="W6" i="1"/>
  <c r="Y6" i="1" s="1"/>
  <c r="AA6" i="1" s="1"/>
  <c r="W7" i="1"/>
  <c r="Y7" i="1" s="1"/>
  <c r="AA7" i="1" s="1"/>
  <c r="W8" i="1"/>
  <c r="Y8" i="1" s="1"/>
  <c r="AA8" i="1" s="1"/>
  <c r="W9" i="1"/>
  <c r="Y9" i="1" s="1"/>
  <c r="AA9" i="1" s="1"/>
  <c r="W10" i="1"/>
  <c r="Y10" i="1" s="1"/>
  <c r="AA10" i="1" s="1"/>
  <c r="W11" i="1"/>
  <c r="Y11" i="1" s="1"/>
  <c r="AA11" i="1" s="1"/>
  <c r="W12" i="1"/>
  <c r="Y12" i="1" s="1"/>
  <c r="AA12" i="1" s="1"/>
  <c r="W14" i="1"/>
  <c r="Y14" i="1" s="1"/>
  <c r="AA14" i="1" s="1"/>
  <c r="W3" i="1"/>
  <c r="Y3" i="1" s="1"/>
  <c r="AA3" i="1" s="1"/>
  <c r="X8" i="1"/>
  <c r="Z8" i="1" s="1"/>
  <c r="V4" i="1"/>
  <c r="X4" i="1" s="1"/>
  <c r="Z4" i="1" s="1"/>
  <c r="V5" i="1"/>
  <c r="X5" i="1" s="1"/>
  <c r="Z5" i="1" s="1"/>
  <c r="V6" i="1"/>
  <c r="X6" i="1" s="1"/>
  <c r="Z6" i="1" s="1"/>
  <c r="AB6" i="1" s="1"/>
  <c r="V7" i="1"/>
  <c r="X7" i="1" s="1"/>
  <c r="Z7" i="1" s="1"/>
  <c r="V8" i="1"/>
  <c r="V9" i="1"/>
  <c r="X9" i="1" s="1"/>
  <c r="Z9" i="1" s="1"/>
  <c r="V10" i="1"/>
  <c r="X10" i="1" s="1"/>
  <c r="Z10" i="1" s="1"/>
  <c r="V11" i="1"/>
  <c r="X11" i="1" s="1"/>
  <c r="Z11" i="1" s="1"/>
  <c r="V12" i="1"/>
  <c r="X12" i="1" s="1"/>
  <c r="Z12" i="1" s="1"/>
  <c r="V14" i="1"/>
  <c r="X14" i="1" s="1"/>
  <c r="Z14" i="1" s="1"/>
  <c r="AB14" i="1" s="1"/>
  <c r="AB7" i="1" l="1"/>
  <c r="AB5" i="1"/>
  <c r="AB4" i="1"/>
  <c r="AB11" i="1"/>
  <c r="AB9" i="1"/>
  <c r="AB12" i="1"/>
  <c r="AB10" i="1"/>
  <c r="A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<sst xmlns="http://schemas.openxmlformats.org/spreadsheetml/2006/main" count="176" uniqueCount="69">
  <si>
    <t>Sediment</t>
  </si>
  <si>
    <t>250409_MC47_006</t>
  </si>
  <si>
    <t>250409_MC48_007</t>
  </si>
  <si>
    <t>250409_MK49_008</t>
  </si>
  <si>
    <t>250409_MK50_009</t>
  </si>
  <si>
    <t>250409_MK51_010</t>
  </si>
  <si>
    <t>250409_MK52_014</t>
  </si>
  <si>
    <t>250409_MK53_015</t>
  </si>
  <si>
    <t>250409_MK54_016</t>
  </si>
  <si>
    <t>250409_MK55_017</t>
  </si>
  <si>
    <t>250409_MK56_018</t>
  </si>
  <si>
    <t>250409_MK57_021</t>
  </si>
  <si>
    <t>250409_MK58_022</t>
  </si>
  <si>
    <t>Type</t>
  </si>
  <si>
    <t>ID</t>
  </si>
  <si>
    <t>Label</t>
  </si>
  <si>
    <t>Cleaning</t>
  </si>
  <si>
    <t>Sr/Ca [mmol/mol]</t>
  </si>
  <si>
    <t>Ba/Ca [umol/mol]</t>
  </si>
  <si>
    <t>U/Ca [nmol/mol]</t>
  </si>
  <si>
    <t>Na_Ca [mmol/mol]</t>
  </si>
  <si>
    <t>Mg_Ca [mmol/mol]</t>
  </si>
  <si>
    <t>Mn_Ca [umol/mol]</t>
  </si>
  <si>
    <t>Fe_Ca [umol/mol]</t>
  </si>
  <si>
    <t>Al_Ca [umol/mol]</t>
  </si>
  <si>
    <t>± 2 s.e.</t>
  </si>
  <si>
    <t>234U (dpm/g)</t>
  </si>
  <si>
    <t>238U (dpm/g)</t>
  </si>
  <si>
    <t>230Th/238U A.R.</t>
  </si>
  <si>
    <t>230Th/234U A.R.</t>
  </si>
  <si>
    <t>Notes</t>
  </si>
  <si>
    <t>1A</t>
  </si>
  <si>
    <t>1B</t>
  </si>
  <si>
    <t>Apparent Contamination -- left out of statistics</t>
  </si>
  <si>
    <t>1C</t>
  </si>
  <si>
    <t>2B</t>
  </si>
  <si>
    <t>2A</t>
  </si>
  <si>
    <t>2C</t>
  </si>
  <si>
    <t>3A</t>
  </si>
  <si>
    <t>3B</t>
  </si>
  <si>
    <t>3C</t>
  </si>
  <si>
    <t>4A</t>
  </si>
  <si>
    <t>4C</t>
  </si>
  <si>
    <t xml:space="preserve">Me/Ca ratios </t>
  </si>
  <si>
    <t>Th/U isotope data</t>
  </si>
  <si>
    <t>4B</t>
  </si>
  <si>
    <t>sample for Th/U lost</t>
  </si>
  <si>
    <t>SA 234U = 6.22*10^-3 Ci/g</t>
  </si>
  <si>
    <t>SA 238U = 3.36*10^-7 Ci/g</t>
  </si>
  <si>
    <t>[238U] nmols/ g CaCO3</t>
  </si>
  <si>
    <t>[234U] nmols/ mol Ca</t>
  </si>
  <si>
    <t>[234U] nmols/ Ca mol</t>
  </si>
  <si>
    <t>[238U]nmols/ Ca mol</t>
  </si>
  <si>
    <t>Calculated [U] nmols/ Ca mols</t>
  </si>
  <si>
    <t>Measured Me/Ca</t>
  </si>
  <si>
    <t>UNIT CONVERSION</t>
  </si>
  <si>
    <t>Sample Identification</t>
  </si>
  <si>
    <t>Measured U/Ca [nmol/mol]</t>
  </si>
  <si>
    <t>[234U]/[238U]</t>
  </si>
  <si>
    <t>dpm U/ g CaCO3 * Ci/2.22*10^12 dpm * g/Ci SA (specific acitivty) * mol/g of U * 10^9 * 100.0869 CaCO3/ Ca = U nmols/ Ca mols</t>
  </si>
  <si>
    <t>divide by isotopic %</t>
  </si>
  <si>
    <t>Normalization by dividing by isotopic %</t>
  </si>
  <si>
    <t>[234U]</t>
  </si>
  <si>
    <t>[238U]</t>
  </si>
  <si>
    <t>number</t>
  </si>
  <si>
    <t>NO</t>
  </si>
  <si>
    <t>SON</t>
  </si>
  <si>
    <t>SON-RED</t>
  </si>
  <si>
    <t>SON-RED-OX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</si>
</sst>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FF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4" fillId="0" borderId="0" xfId="0" applyFont="1"/>
    <xf numFmtId="0" fontId="1" fillId="0" borderId="0" xfId="1"/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0" borderId="0" xfId="0" applyFont="1"/>
    <xf numFmtId="0" fontId="7" fillId="0" borderId="0" xfId="0" applyFont="1"/>
  </cellXfs>
  <cellStyles count="2">
    <cellStyle name="Normal" xfId="0" builtinId="0"/>
    <cellStyle name="Normal 2" xfId="1" xr:uid="{88BA75D8-B330-E44E-BEA7-C1FE249DEE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vs Calculated U nmols/ Ca mols</a:t>
            </a:r>
          </a:p>
        </c:rich>
      </c:tx>
      <c:layout>
        <c:manualLayout>
          <c:xMode val="edge"/>
          <c:yMode val="edge"/>
          <c:x val="0.43266647059609908"/>
          <c:y val="2.67584097859327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973313236100152"/>
                  <c:y val="-0.137958715596330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('combined sedimentary pteropods'!$Y$3,'combined sedimentary pteropods'!$Y$5,'combined sedimentary pteropods'!$Y$7:$Y$12,'combined sedimentary pteropods'!$Y$14)</c:f>
              <c:numCache>
                <c:formatCode>General</c:formatCode>
                <c:ptCount val="9"/>
                <c:pt idx="0">
                  <c:v>439.68541664084364</c:v>
                </c:pt>
                <c:pt idx="1">
                  <c:v>445.73387574551327</c:v>
                </c:pt>
                <c:pt idx="2">
                  <c:v>301.16782507804282</c:v>
                </c:pt>
                <c:pt idx="3">
                  <c:v>313.55973674322752</c:v>
                </c:pt>
                <c:pt idx="4">
                  <c:v>214.39459428119741</c:v>
                </c:pt>
                <c:pt idx="5">
                  <c:v>222.86518552136022</c:v>
                </c:pt>
                <c:pt idx="6">
                  <c:v>219.16451301511941</c:v>
                </c:pt>
                <c:pt idx="7">
                  <c:v>213.45579552011779</c:v>
                </c:pt>
                <c:pt idx="8">
                  <c:v>225.63411090877582</c:v>
                </c:pt>
              </c:numCache>
            </c:numRef>
          </c:xVal>
          <c:yVal>
            <c:numRef>
              <c:f>('combined sedimentary pteropods'!$AC$3,'combined sedimentary pteropods'!$AC$5,'combined sedimentary pteropods'!$AC$7:$AC$12,'combined sedimentary pteropods'!$AC$14)</c:f>
              <c:numCache>
                <c:formatCode>General</c:formatCode>
                <c:ptCount val="9"/>
                <c:pt idx="0">
                  <c:v>468.38955954380799</c:v>
                </c:pt>
                <c:pt idx="1">
                  <c:v>449.29715930327058</c:v>
                </c:pt>
                <c:pt idx="2">
                  <c:v>308.31198972930645</c:v>
                </c:pt>
                <c:pt idx="3">
                  <c:v>320.71440975593009</c:v>
                </c:pt>
                <c:pt idx="4">
                  <c:v>223.36742932630972</c:v>
                </c:pt>
                <c:pt idx="5">
                  <c:v>236.96242951649464</c:v>
                </c:pt>
                <c:pt idx="6">
                  <c:v>247.06680639675164</c:v>
                </c:pt>
                <c:pt idx="7">
                  <c:v>218.43171399770733</c:v>
                </c:pt>
                <c:pt idx="8">
                  <c:v>230.31890204975423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8E-9142-A807-F7149E028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989296"/>
        <c:axId val="446991008"/>
      </c:scatterChart>
      <c:valAx>
        <c:axId val="44698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 238U</a:t>
                </a:r>
                <a:r>
                  <a:rPr lang="en-US" baseline="0"/>
                  <a:t> nmols / Ca mols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91008"/>
        <c:crosses val="autoZero"/>
        <c:crossBetween val="midCat"/>
      </c:valAx>
      <c:valAx>
        <c:axId val="44699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U nmols/ Ca mols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8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</a:t>
            </a:r>
            <a:r>
              <a:rPr lang="en-US" baseline="0"/>
              <a:t> vs Calculated U nmols/ Ca mols</a:t>
            </a:r>
          </a:p>
        </c:rich>
      </c:tx>
      <c:layout>
        <c:manualLayout>
          <c:xMode val="edge"/>
          <c:yMode val="edge"/>
          <c:x val="0.43266647059609908"/>
          <c:y val="2.67584097859327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 CLEAN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('combined sedimentary pteropods'!$Y$3,'combined sedimentary pteropods'!$Y$5)</c:f>
              <c:numCache>
                <c:formatCode>General</c:formatCode>
                <c:ptCount val="2"/>
                <c:pt idx="0">
                  <c:v>439.68541664084364</c:v>
                </c:pt>
                <c:pt idx="1">
                  <c:v>445.73387574551327</c:v>
                </c:pt>
              </c:numCache>
            </c:numRef>
          </c:xVal>
          <c:yVal>
            <c:numRef>
              <c:f>('combined sedimentary pteropods'!$AC$3,'combined sedimentary pteropods'!$AC$5)</c:f>
              <c:numCache>
                <c:formatCode>General</c:formatCode>
                <c:ptCount val="2"/>
                <c:pt idx="0">
                  <c:v>468.38955954380799</c:v>
                </c:pt>
                <c:pt idx="1">
                  <c:v>449.29715930327058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80-2F4E-88F5-BA951C4DB42E}"/>
            </c:ext>
          </c:extLst>
        </c:ser>
        <c:ser>
          <c:idx val="1"/>
          <c:order val="1"/>
          <c:tx>
            <c:v>SONIC ONLY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('workup for cleaning types'!$Y$7,'workup for cleaning types'!$Y$8)</c:f>
              <c:numCache>
                <c:formatCode>General</c:formatCode>
                <c:ptCount val="2"/>
                <c:pt idx="0">
                  <c:v>301.16782507804282</c:v>
                </c:pt>
                <c:pt idx="1">
                  <c:v>313.55973674322752</c:v>
                </c:pt>
              </c:numCache>
            </c:numRef>
          </c:xVal>
          <c:yVal>
            <c:numRef>
              <c:f>('workup for cleaning types'!$Z$7,'workup for cleaning types'!$Z$8)</c:f>
              <c:numCache>
                <c:formatCode>General</c:formatCode>
                <c:ptCount val="2"/>
                <c:pt idx="0">
                  <c:v>308.31198972930645</c:v>
                </c:pt>
                <c:pt idx="1">
                  <c:v>320.71440975593009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E7-C341-AEA5-0B0A2B398D28}"/>
            </c:ext>
          </c:extLst>
        </c:ser>
        <c:ser>
          <c:idx val="2"/>
          <c:order val="2"/>
          <c:tx>
            <c:v>SONIC + RED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('workup for cleaning types'!$Y$9,'workup for cleaning types'!$Y$10,'workup for cleaning types'!$Y$11)</c:f>
              <c:numCache>
                <c:formatCode>General</c:formatCode>
                <c:ptCount val="3"/>
                <c:pt idx="0">
                  <c:v>214.39459428119741</c:v>
                </c:pt>
                <c:pt idx="1">
                  <c:v>222.86518552136022</c:v>
                </c:pt>
                <c:pt idx="2">
                  <c:v>219.16451301511941</c:v>
                </c:pt>
              </c:numCache>
            </c:numRef>
          </c:xVal>
          <c:yVal>
            <c:numRef>
              <c:f>('workup for cleaning types'!$Z$9,'workup for cleaning types'!$Z$10,'workup for cleaning types'!$Z$11)</c:f>
              <c:numCache>
                <c:formatCode>General</c:formatCode>
                <c:ptCount val="3"/>
                <c:pt idx="0">
                  <c:v>223.36742932630972</c:v>
                </c:pt>
                <c:pt idx="1">
                  <c:v>236.96242951649464</c:v>
                </c:pt>
                <c:pt idx="2">
                  <c:v>247.06680639675164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E7-C341-AEA5-0B0A2B398D28}"/>
            </c:ext>
          </c:extLst>
        </c:ser>
        <c:ser>
          <c:idx val="3"/>
          <c:order val="3"/>
          <c:tx>
            <c:v>SONIC + RED+ OX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('workup for cleaning types'!$Y$12,'workup for cleaning types'!$Y$14)</c:f>
              <c:numCache>
                <c:formatCode>General</c:formatCode>
                <c:ptCount val="2"/>
                <c:pt idx="0">
                  <c:v>213.45579552011779</c:v>
                </c:pt>
                <c:pt idx="1">
                  <c:v>225.63411090877582</c:v>
                </c:pt>
              </c:numCache>
            </c:numRef>
          </c:xVal>
          <c:yVal>
            <c:numRef>
              <c:f>('workup for cleaning types'!$Z$12,'workup for cleaning types'!$Z$14)</c:f>
              <c:numCache>
                <c:formatCode>General</c:formatCode>
                <c:ptCount val="2"/>
                <c:pt idx="0">
                  <c:v>218.43171399770733</c:v>
                </c:pt>
                <c:pt idx="1">
                  <c:v>230.31890204975423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E7-C341-AEA5-0B0A2B398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989296"/>
        <c:axId val="446991008"/>
      </c:scatterChart>
      <c:valAx>
        <c:axId val="44698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 238U</a:t>
                </a:r>
                <a:r>
                  <a:rPr lang="en-US" baseline="0"/>
                  <a:t> nmols / Ca mols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91008"/>
        <c:crosses val="autoZero"/>
        <c:crossBetween val="midCat"/>
      </c:valAx>
      <c:valAx>
        <c:axId val="44699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U nmols/ Ca mols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8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  <cx:data id="2">
      <cx:numDim type="val">
        <cx:f>_xlchart.v1.3</cx:f>
      </cx:numDim>
    </cx:data>
    <cx:data id="3">
      <cx:numDim type="val">
        <cx:f>_xlchart.v1.0</cx:f>
      </cx:numDim>
    </cx:data>
  </cx:chartData>
  <cx:chart>
    <cx:title pos="t" align="ctr" overlay="0">
      <cx:tx>
        <cx:txData>
          <cx:v>Calculated U nmols/ Ca mols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Calculated U nmols/ Ca mols</a:t>
          </a:r>
        </a:p>
      </cx:txPr>
    </cx:title>
    <cx:plotArea>
      <cx:plotAreaRegion>
        <cx:series layoutId="boxWhisker" uniqueId="{5CA7C2B7-28D0-A640-83A2-94CD0F010B59}">
          <cx:tx>
            <cx:txData>
              <cx:f/>
              <cx:v>NO CLEAN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B237-7241-B978-405DA97D1DC5}">
          <cx:tx>
            <cx:txData>
              <cx:f/>
              <cx:v>SONIC ONLY</cx:v>
            </cx:txData>
          </cx:tx>
          <cx:dataId val="1"/>
          <cx:layoutPr>
            <cx:visibility meanLine="0"/>
            <cx:statistics quartileMethod="exclusive"/>
          </cx:layoutPr>
        </cx:series>
        <cx:series layoutId="boxWhisker" uniqueId="{00000002-B237-7241-B978-405DA97D1DC5}">
          <cx:tx>
            <cx:txData>
              <cx:f/>
              <cx:v>SONIC + RED</cx:v>
            </cx:txData>
          </cx:tx>
          <cx:dataId val="2"/>
          <cx:layoutPr>
            <cx:statistics quartileMethod="exclusive"/>
          </cx:layoutPr>
        </cx:series>
        <cx:series layoutId="boxWhisker" uniqueId="{00000003-B237-7241-B978-405DA97D1DC5}">
          <cx:tx>
            <cx:txData>
              <cx:f/>
              <cx:v>SONIC +RED + OX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Calculated 238U nmols/ Ca mols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Calculated 238U nmols/ Ca mols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792480</xdr:colOff>
      <xdr:row>16</xdr:row>
      <xdr:rowOff>20320</xdr:rowOff>
    </xdr:from>
    <xdr:to>
      <xdr:col>34</xdr:col>
      <xdr:colOff>375920</xdr:colOff>
      <xdr:row>32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BF31A-D252-2908-FB3F-4C78B3E76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779780</xdr:colOff>
      <xdr:row>17</xdr:row>
      <xdr:rowOff>152400</xdr:rowOff>
    </xdr:from>
    <xdr:to>
      <xdr:col>35</xdr:col>
      <xdr:colOff>215900</xdr:colOff>
      <xdr:row>44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7F7CF-DBD9-C147-8225-53CB1B4E9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793750</xdr:colOff>
      <xdr:row>3</xdr:row>
      <xdr:rowOff>0</xdr:rowOff>
    </xdr:from>
    <xdr:to>
      <xdr:col>45</xdr:col>
      <xdr:colOff>596900</xdr:colOff>
      <xdr:row>31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4D4AC70-7C63-0BB7-C573-BA486926BA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68950" y="609600"/>
              <a:ext cx="8058150" cy="570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82E5-9042-AA48-86DE-B01B9E181CE6}">
  <dimension ref="A1:AE18"/>
  <sheetViews>
    <sheetView zoomScale="94" zoomScaleNormal="75" workbookViewId="0">
      <selection activeCell="D3" sqref="D3:D14"/>
    </sheetView>
  </sheetViews>
  <sheetFormatPr baseColWidth="10" defaultRowHeight="16" x14ac:dyDescent="0.2"/>
  <cols>
    <col min="2" max="4" width="12.1640625" bestFit="1" customWidth="1"/>
    <col min="5" max="5" width="12.1640625" customWidth="1"/>
    <col min="22" max="22" width="12.1640625" bestFit="1" customWidth="1"/>
    <col min="23" max="23" width="12.6640625" bestFit="1" customWidth="1"/>
    <col min="24" max="24" width="12.1640625" bestFit="1" customWidth="1"/>
    <col min="28" max="28" width="13" bestFit="1" customWidth="1"/>
    <col min="29" max="30" width="17.83203125" customWidth="1"/>
  </cols>
  <sheetData>
    <row r="1" spans="1:31" x14ac:dyDescent="0.2">
      <c r="A1" t="s">
        <v>56</v>
      </c>
      <c r="F1" t="s">
        <v>43</v>
      </c>
      <c r="N1" t="s">
        <v>44</v>
      </c>
      <c r="V1" t="s">
        <v>53</v>
      </c>
      <c r="Z1" t="s">
        <v>61</v>
      </c>
      <c r="AC1" t="s">
        <v>54</v>
      </c>
      <c r="AE1" s="5" t="s">
        <v>30</v>
      </c>
    </row>
    <row r="2" spans="1:31" x14ac:dyDescent="0.2">
      <c r="A2" t="s">
        <v>13</v>
      </c>
      <c r="B2" t="s">
        <v>14</v>
      </c>
      <c r="C2" t="s">
        <v>15</v>
      </c>
      <c r="D2" t="s">
        <v>16</v>
      </c>
      <c r="E2" t="s">
        <v>64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28</v>
      </c>
      <c r="O2" t="s">
        <v>25</v>
      </c>
      <c r="P2" t="s">
        <v>29</v>
      </c>
      <c r="Q2" t="s">
        <v>25</v>
      </c>
      <c r="R2" t="s">
        <v>26</v>
      </c>
      <c r="S2" t="s">
        <v>25</v>
      </c>
      <c r="T2" t="s">
        <v>27</v>
      </c>
      <c r="U2" t="s">
        <v>25</v>
      </c>
      <c r="V2" t="s">
        <v>50</v>
      </c>
      <c r="W2" t="s">
        <v>49</v>
      </c>
      <c r="X2" t="s">
        <v>51</v>
      </c>
      <c r="Y2" t="s">
        <v>52</v>
      </c>
      <c r="Z2" t="s">
        <v>62</v>
      </c>
      <c r="AA2" t="s">
        <v>63</v>
      </c>
      <c r="AB2" t="s">
        <v>58</v>
      </c>
      <c r="AC2" t="s">
        <v>57</v>
      </c>
    </row>
    <row r="3" spans="1:31" x14ac:dyDescent="0.2">
      <c r="A3" t="s">
        <v>0</v>
      </c>
      <c r="B3" t="s">
        <v>1</v>
      </c>
      <c r="C3" t="s">
        <v>31</v>
      </c>
      <c r="D3" s="1" t="s">
        <v>65</v>
      </c>
      <c r="E3" s="1">
        <v>1</v>
      </c>
      <c r="F3">
        <v>2.4240384752474555</v>
      </c>
      <c r="G3">
        <v>11.994102980491613</v>
      </c>
      <c r="H3">
        <v>468.38955954380759</v>
      </c>
      <c r="I3">
        <v>17.210719873136657</v>
      </c>
      <c r="J3">
        <v>9.0461226093249802</v>
      </c>
      <c r="K3">
        <v>175.65853023117276</v>
      </c>
      <c r="L3">
        <v>556.80649953290072</v>
      </c>
      <c r="M3">
        <v>513.90317393468467</v>
      </c>
      <c r="N3">
        <v>0.61011236389919465</v>
      </c>
      <c r="O3">
        <v>9.659858120147833E-3</v>
      </c>
      <c r="P3">
        <v>0.53802649664980173</v>
      </c>
      <c r="Q3">
        <v>8.7594674974638773E-3</v>
      </c>
      <c r="R3">
        <v>0.88457133958835987</v>
      </c>
      <c r="S3">
        <v>1.398907150507946E-2</v>
      </c>
      <c r="T3">
        <v>0.78005765337052135</v>
      </c>
      <c r="U3">
        <v>2.5140929474624894E-3</v>
      </c>
      <c r="V3">
        <f>(((R3/(2.22*10^12))/(6.22*10^-3))/234.04095)*10^9</f>
        <v>2.7371440408043132E-4</v>
      </c>
      <c r="W3">
        <f>(((T3/(2.22*10^12))/(3.36*10^-7))/238.05079)*10^9</f>
        <v>4.3930366175877529</v>
      </c>
      <c r="X3">
        <f t="shared" ref="X3:X12" si="0">V3*100.0869</f>
        <v>2.7395226189757722E-2</v>
      </c>
      <c r="Y3">
        <f t="shared" ref="Y3:Y12" si="1">W3*100.0869</f>
        <v>439.68541664084364</v>
      </c>
      <c r="Z3">
        <f>X3/0.0055</f>
        <v>4.9809502163195862</v>
      </c>
      <c r="AA3">
        <f>Y3/99.28</f>
        <v>4.4287411023453229</v>
      </c>
      <c r="AB3">
        <f>Z3/AA3</f>
        <v>1.1246876033647193</v>
      </c>
      <c r="AC3">
        <v>468.38955954380799</v>
      </c>
    </row>
    <row r="4" spans="1:31" x14ac:dyDescent="0.2">
      <c r="A4" t="s">
        <v>0</v>
      </c>
      <c r="B4" t="s">
        <v>2</v>
      </c>
      <c r="C4" t="s">
        <v>32</v>
      </c>
      <c r="D4" s="1" t="s">
        <v>65</v>
      </c>
      <c r="E4" s="1">
        <v>1</v>
      </c>
      <c r="F4">
        <v>2.3029585788126603</v>
      </c>
      <c r="G4">
        <v>12.848314913862716</v>
      </c>
      <c r="H4">
        <v>447.94133990479213</v>
      </c>
      <c r="I4">
        <v>17.48493818558244</v>
      </c>
      <c r="J4">
        <v>8.1723364792775737</v>
      </c>
      <c r="K4">
        <v>174.43419391518393</v>
      </c>
      <c r="L4">
        <v>588.74721751902257</v>
      </c>
      <c r="M4">
        <v>627.11718748768214</v>
      </c>
      <c r="N4" s="6">
        <v>0.32184415565315633</v>
      </c>
      <c r="O4" s="6">
        <v>1.9759427368043841E-2</v>
      </c>
      <c r="P4" s="6">
        <v>0.31655296802723609</v>
      </c>
      <c r="Q4" s="6">
        <v>1.9631098958537853E-2</v>
      </c>
      <c r="R4" s="6">
        <v>1.5182451480385759</v>
      </c>
      <c r="S4" s="6">
        <v>2.7959826102772593E-2</v>
      </c>
      <c r="T4" s="6">
        <v>1.4932848689739704</v>
      </c>
      <c r="U4" s="6">
        <v>1.7982019455003682E-2</v>
      </c>
      <c r="V4" s="6">
        <f t="shared" ref="V4:V14" si="2">(((R4/(2.22*10^12))/(6.22*10^-3))/234.04095)*10^9</f>
        <v>4.6979316121271883E-4</v>
      </c>
      <c r="W4" s="6">
        <f t="shared" ref="W4:W14" si="3">(((T4/(2.22*10^12))/(3.36*10^-7))/238.05079)*10^9</f>
        <v>8.4097054641375415</v>
      </c>
      <c r="X4" s="6">
        <f>V4*100.0869</f>
        <v>4.7020141146981269E-2</v>
      </c>
      <c r="Y4" s="6">
        <f t="shared" si="1"/>
        <v>841.70134981858769</v>
      </c>
      <c r="Z4">
        <f t="shared" ref="Z4:Z14" si="4">X4/0.0055</f>
        <v>8.5491165721784128</v>
      </c>
      <c r="AA4">
        <f t="shared" ref="AA4:AA14" si="5">Y4/99.28</f>
        <v>8.4780554977698195</v>
      </c>
      <c r="AB4">
        <f t="shared" ref="AB4:AB14" si="6">Z4/AA4</f>
        <v>1.0083817656569112</v>
      </c>
      <c r="AC4" s="6">
        <v>447.94133990479213</v>
      </c>
      <c r="AD4" s="6"/>
      <c r="AE4" s="6" t="s">
        <v>33</v>
      </c>
    </row>
    <row r="5" spans="1:31" x14ac:dyDescent="0.2">
      <c r="A5" t="s">
        <v>0</v>
      </c>
      <c r="B5" t="s">
        <v>3</v>
      </c>
      <c r="C5" s="2" t="s">
        <v>34</v>
      </c>
      <c r="D5" s="1" t="s">
        <v>65</v>
      </c>
      <c r="E5" s="3">
        <v>1</v>
      </c>
      <c r="F5">
        <v>2.345928293878571</v>
      </c>
      <c r="G5">
        <v>12.4210935332361</v>
      </c>
      <c r="H5">
        <v>449.29715930327058</v>
      </c>
      <c r="I5">
        <v>17.329182493403763</v>
      </c>
      <c r="J5">
        <v>9.0241428147331195</v>
      </c>
      <c r="K5">
        <v>165.6397343820345</v>
      </c>
      <c r="L5">
        <v>521.81682436992435</v>
      </c>
      <c r="M5">
        <v>548.66957616592072</v>
      </c>
      <c r="N5">
        <v>0.6113403454519396</v>
      </c>
      <c r="O5">
        <v>1.1098193331586362E-2</v>
      </c>
      <c r="P5">
        <v>0.52224101843495452</v>
      </c>
      <c r="Q5">
        <v>9.7325829515663188E-3</v>
      </c>
      <c r="R5">
        <v>0.92570447024607938</v>
      </c>
      <c r="S5">
        <v>1.5014527363940051E-2</v>
      </c>
      <c r="T5">
        <v>0.79078838638355209</v>
      </c>
      <c r="U5">
        <v>2.8617150934306121E-3</v>
      </c>
      <c r="V5">
        <f t="shared" si="2"/>
        <v>2.8644229819373086E-4</v>
      </c>
      <c r="W5">
        <f t="shared" si="3"/>
        <v>4.4534686931607759</v>
      </c>
      <c r="X5">
        <f t="shared" si="0"/>
        <v>2.8669121655086123E-2</v>
      </c>
      <c r="Y5">
        <f t="shared" si="1"/>
        <v>445.73387574551327</v>
      </c>
      <c r="Z5">
        <f t="shared" si="4"/>
        <v>5.2125675736520227</v>
      </c>
      <c r="AA5">
        <f t="shared" si="5"/>
        <v>4.4896643407082317</v>
      </c>
      <c r="AB5">
        <f t="shared" si="6"/>
        <v>1.161014984213665</v>
      </c>
      <c r="AC5">
        <v>449.29715930327058</v>
      </c>
    </row>
    <row r="6" spans="1:31" x14ac:dyDescent="0.2">
      <c r="A6" t="s">
        <v>0</v>
      </c>
      <c r="B6" t="s">
        <v>4</v>
      </c>
      <c r="C6" s="2" t="s">
        <v>36</v>
      </c>
      <c r="D6" s="4" t="s">
        <v>66</v>
      </c>
      <c r="E6" s="4">
        <v>2</v>
      </c>
      <c r="F6">
        <v>1.5770705354627657</v>
      </c>
      <c r="G6">
        <v>6.7189407304641602</v>
      </c>
      <c r="H6">
        <v>302.79267025152586</v>
      </c>
      <c r="I6">
        <v>18.657383483251486</v>
      </c>
      <c r="J6">
        <v>3.1512495171605153</v>
      </c>
      <c r="K6">
        <v>48.952169951362642</v>
      </c>
      <c r="L6">
        <v>174.51428541350577</v>
      </c>
      <c r="M6">
        <v>219.93697957266215</v>
      </c>
      <c r="N6" s="6">
        <v>0.11545108744532581</v>
      </c>
      <c r="O6" s="6">
        <v>3.5591381972850744E-3</v>
      </c>
      <c r="P6" s="6">
        <v>0.11362729477299752</v>
      </c>
      <c r="Q6" s="6">
        <v>3.6524543911072216E-3</v>
      </c>
      <c r="R6" s="6">
        <v>1.4129186566526521</v>
      </c>
      <c r="S6" s="6">
        <v>2.513698068564111E-2</v>
      </c>
      <c r="T6" s="6">
        <v>1.3905986356842974</v>
      </c>
      <c r="U6" s="6">
        <v>1.8112674916098581E-2</v>
      </c>
      <c r="V6" s="6">
        <f t="shared" si="2"/>
        <v>4.3720180703545519E-4</v>
      </c>
      <c r="W6" s="6">
        <f t="shared" si="3"/>
        <v>7.8314092561399251</v>
      </c>
      <c r="X6" s="6">
        <f t="shared" si="0"/>
        <v>4.37581735405769E-2</v>
      </c>
      <c r="Y6" s="6">
        <f t="shared" si="1"/>
        <v>783.82147507835111</v>
      </c>
      <c r="Z6">
        <f t="shared" si="4"/>
        <v>7.9560315528321643</v>
      </c>
      <c r="AA6">
        <f t="shared" si="5"/>
        <v>7.895059176856881</v>
      </c>
      <c r="AB6">
        <f t="shared" si="6"/>
        <v>1.0077228523066697</v>
      </c>
      <c r="AC6" s="6">
        <v>302.79267025152586</v>
      </c>
      <c r="AD6" s="6"/>
      <c r="AE6" s="6" t="s">
        <v>33</v>
      </c>
    </row>
    <row r="7" spans="1:31" x14ac:dyDescent="0.2">
      <c r="A7" t="s">
        <v>0</v>
      </c>
      <c r="B7" t="s">
        <v>5</v>
      </c>
      <c r="C7" s="2" t="s">
        <v>35</v>
      </c>
      <c r="D7" s="4" t="s">
        <v>66</v>
      </c>
      <c r="E7" s="4">
        <v>2</v>
      </c>
      <c r="F7">
        <v>1.5979015509006576</v>
      </c>
      <c r="G7">
        <v>7.0066786694995518</v>
      </c>
      <c r="H7">
        <v>308.31198972930645</v>
      </c>
      <c r="I7">
        <v>18.821290469293292</v>
      </c>
      <c r="J7">
        <v>3.4112927201749854</v>
      </c>
      <c r="K7">
        <v>47.295715951994339</v>
      </c>
      <c r="L7">
        <v>167.46871571763438</v>
      </c>
      <c r="M7">
        <v>156.34316228209411</v>
      </c>
      <c r="N7">
        <v>0.28793120032151515</v>
      </c>
      <c r="O7">
        <v>8.8994850722590793E-3</v>
      </c>
      <c r="P7">
        <v>0.25014198454203973</v>
      </c>
      <c r="Q7">
        <v>8.3584493007054679E-3</v>
      </c>
      <c r="R7">
        <v>0.61502865442679866</v>
      </c>
      <c r="S7">
        <v>1.5491320210685619E-2</v>
      </c>
      <c r="T7">
        <v>0.53430989068482693</v>
      </c>
      <c r="U7">
        <v>1.5663645505708649E-3</v>
      </c>
      <c r="V7">
        <f t="shared" si="2"/>
        <v>1.9030935562207982E-4</v>
      </c>
      <c r="W7">
        <f t="shared" si="3"/>
        <v>3.0090633747078073</v>
      </c>
      <c r="X7">
        <f t="shared" si="0"/>
        <v>1.904747344521154E-2</v>
      </c>
      <c r="Y7">
        <f t="shared" si="1"/>
        <v>301.16782507804282</v>
      </c>
      <c r="Z7">
        <f t="shared" si="4"/>
        <v>3.4631769900384621</v>
      </c>
      <c r="AA7">
        <f t="shared" si="5"/>
        <v>3.0335195918416882</v>
      </c>
      <c r="AB7">
        <f t="shared" si="6"/>
        <v>1.1416365990687152</v>
      </c>
      <c r="AC7">
        <v>308.31198972930645</v>
      </c>
    </row>
    <row r="8" spans="1:31" x14ac:dyDescent="0.2">
      <c r="A8" t="s">
        <v>0</v>
      </c>
      <c r="B8" t="s">
        <v>6</v>
      </c>
      <c r="C8" s="2" t="s">
        <v>37</v>
      </c>
      <c r="D8" s="4" t="s">
        <v>66</v>
      </c>
      <c r="E8" s="4">
        <v>2</v>
      </c>
      <c r="F8">
        <v>1.6682384240136723</v>
      </c>
      <c r="G8">
        <v>7.2962224303392018</v>
      </c>
      <c r="H8">
        <v>320.71440975593009</v>
      </c>
      <c r="I8">
        <v>18.326195021745924</v>
      </c>
      <c r="J8">
        <v>3.5690384469412031</v>
      </c>
      <c r="K8">
        <v>44.414757823823244</v>
      </c>
      <c r="L8">
        <v>157.62759062691416</v>
      </c>
      <c r="M8">
        <v>141.92032139848197</v>
      </c>
      <c r="N8">
        <v>0.26745036769803937</v>
      </c>
      <c r="O8">
        <v>1.1832331707506256E-2</v>
      </c>
      <c r="P8">
        <v>0.23195391778314434</v>
      </c>
      <c r="Q8">
        <v>1.0783570590813113E-2</v>
      </c>
      <c r="R8">
        <v>0.64142579192172633</v>
      </c>
      <c r="S8">
        <v>1.4868572449519658E-2</v>
      </c>
      <c r="T8">
        <v>0.55629471248803608</v>
      </c>
      <c r="U8">
        <v>2.3661545080180995E-3</v>
      </c>
      <c r="V8">
        <f t="shared" si="2"/>
        <v>1.9847746647475074E-4</v>
      </c>
      <c r="W8">
        <f t="shared" si="3"/>
        <v>3.1328748991449182</v>
      </c>
      <c r="X8">
        <f t="shared" si="0"/>
        <v>1.9864994339311732E-2</v>
      </c>
      <c r="Y8">
        <f t="shared" si="1"/>
        <v>313.55973674322752</v>
      </c>
      <c r="Z8">
        <f t="shared" si="4"/>
        <v>3.6118171526021334</v>
      </c>
      <c r="AA8">
        <f t="shared" si="5"/>
        <v>3.1583373966884318</v>
      </c>
      <c r="AB8">
        <f t="shared" si="6"/>
        <v>1.1435817960390118</v>
      </c>
      <c r="AC8">
        <v>320.71440975593009</v>
      </c>
    </row>
    <row r="9" spans="1:31" x14ac:dyDescent="0.2">
      <c r="A9" t="s">
        <v>0</v>
      </c>
      <c r="B9" t="s">
        <v>7</v>
      </c>
      <c r="C9" s="2" t="s">
        <v>38</v>
      </c>
      <c r="D9" s="4" t="s">
        <v>67</v>
      </c>
      <c r="E9" s="4">
        <v>3</v>
      </c>
      <c r="F9">
        <v>1.3415621166647502</v>
      </c>
      <c r="G9">
        <v>5.7020981777185344</v>
      </c>
      <c r="H9">
        <v>223.36742932630972</v>
      </c>
      <c r="I9">
        <v>18.673299261589669</v>
      </c>
      <c r="J9">
        <v>1.1983217414583234</v>
      </c>
      <c r="K9">
        <v>15.484944635332528</v>
      </c>
      <c r="L9">
        <v>25.883426323940235</v>
      </c>
      <c r="M9">
        <v>72.380084089451174</v>
      </c>
      <c r="N9">
        <v>0.11467667624357794</v>
      </c>
      <c r="O9">
        <v>4.7935019894853655E-3</v>
      </c>
      <c r="P9">
        <v>0.10000325369432765</v>
      </c>
      <c r="Q9">
        <v>4.7882548765769859E-3</v>
      </c>
      <c r="R9">
        <v>0.43617366290414139</v>
      </c>
      <c r="S9">
        <v>1.0863870018925463E-2</v>
      </c>
      <c r="T9">
        <v>0.38036318190404228</v>
      </c>
      <c r="U9">
        <v>1.4264766471405556E-3</v>
      </c>
      <c r="V9">
        <f t="shared" si="2"/>
        <v>1.3496595342207604E-4</v>
      </c>
      <c r="W9">
        <f t="shared" si="3"/>
        <v>2.1420844714063221</v>
      </c>
      <c r="X9">
        <f t="shared" si="0"/>
        <v>1.3508323883559981E-2</v>
      </c>
      <c r="Y9">
        <f t="shared" si="1"/>
        <v>214.39459428119741</v>
      </c>
      <c r="Z9">
        <f t="shared" si="4"/>
        <v>2.4560588879199967</v>
      </c>
      <c r="AA9">
        <f t="shared" si="5"/>
        <v>2.1594943017848247</v>
      </c>
      <c r="AB9">
        <f t="shared" si="6"/>
        <v>1.1373305712777575</v>
      </c>
      <c r="AC9">
        <v>223.36742932630972</v>
      </c>
    </row>
    <row r="10" spans="1:31" x14ac:dyDescent="0.2">
      <c r="A10" t="s">
        <v>0</v>
      </c>
      <c r="B10" t="s">
        <v>8</v>
      </c>
      <c r="C10" s="2" t="s">
        <v>39</v>
      </c>
      <c r="D10" s="4" t="s">
        <v>67</v>
      </c>
      <c r="E10" s="4">
        <v>3</v>
      </c>
      <c r="F10">
        <v>1.5575845128239232</v>
      </c>
      <c r="G10">
        <v>5.9421197851468381</v>
      </c>
      <c r="H10">
        <v>236.96242951649464</v>
      </c>
      <c r="I10">
        <v>29.761961607080888</v>
      </c>
      <c r="J10">
        <v>1.4098955149865431</v>
      </c>
      <c r="K10">
        <v>15.630759401881026</v>
      </c>
      <c r="L10">
        <v>25.786920422638271</v>
      </c>
      <c r="M10">
        <v>53.637733087144142</v>
      </c>
      <c r="N10">
        <v>0.10715733028928495</v>
      </c>
      <c r="O10">
        <v>4.8073149006271779E-3</v>
      </c>
      <c r="P10">
        <v>9.3118538656026081E-2</v>
      </c>
      <c r="Q10">
        <v>4.3796363697899705E-3</v>
      </c>
      <c r="R10">
        <v>0.4550012663976748</v>
      </c>
      <c r="S10">
        <v>6.6397480068390528E-3</v>
      </c>
      <c r="T10">
        <v>0.39539108429831171</v>
      </c>
      <c r="U10">
        <v>1.3950254070308659E-3</v>
      </c>
      <c r="V10">
        <f t="shared" si="2"/>
        <v>1.4079181058006772E-4</v>
      </c>
      <c r="W10">
        <f t="shared" si="3"/>
        <v>2.2267168382811358</v>
      </c>
      <c r="X10">
        <f t="shared" si="0"/>
        <v>1.409141586634618E-2</v>
      </c>
      <c r="Y10">
        <f t="shared" si="1"/>
        <v>222.86518552136022</v>
      </c>
      <c r="Z10">
        <f t="shared" si="4"/>
        <v>2.5620756120629418</v>
      </c>
      <c r="AA10">
        <f t="shared" si="5"/>
        <v>2.244814519755844</v>
      </c>
      <c r="AB10">
        <f t="shared" si="6"/>
        <v>1.1413306487083861</v>
      </c>
      <c r="AC10">
        <v>236.96242951649464</v>
      </c>
    </row>
    <row r="11" spans="1:31" x14ac:dyDescent="0.2">
      <c r="A11" t="s">
        <v>0</v>
      </c>
      <c r="B11" t="s">
        <v>9</v>
      </c>
      <c r="C11" s="2" t="s">
        <v>40</v>
      </c>
      <c r="D11" s="4" t="s">
        <v>67</v>
      </c>
      <c r="E11" s="4">
        <v>3</v>
      </c>
      <c r="F11">
        <v>1.4277933288311244</v>
      </c>
      <c r="G11">
        <v>6.3871622724129553</v>
      </c>
      <c r="H11">
        <v>247.06680639675164</v>
      </c>
      <c r="I11">
        <v>18.790528988644279</v>
      </c>
      <c r="J11">
        <v>0.92571492034021241</v>
      </c>
      <c r="K11">
        <v>15.710662717164421</v>
      </c>
      <c r="L11">
        <v>30.053589541503872</v>
      </c>
      <c r="M11">
        <v>59.876917988874879</v>
      </c>
      <c r="N11">
        <v>0.10381470441637841</v>
      </c>
      <c r="O11">
        <v>3.6417684292928323E-3</v>
      </c>
      <c r="P11">
        <v>9.0593462356721971E-2</v>
      </c>
      <c r="Q11">
        <v>3.4922246772751049E-3</v>
      </c>
      <c r="R11">
        <v>0.44557097161871734</v>
      </c>
      <c r="S11">
        <v>8.0681617295171419E-3</v>
      </c>
      <c r="T11">
        <v>0.38882562226146411</v>
      </c>
      <c r="U11">
        <v>1.536652745364092E-3</v>
      </c>
      <c r="V11">
        <f t="shared" si="2"/>
        <v>1.3787377853425632E-4</v>
      </c>
      <c r="W11">
        <f t="shared" si="3"/>
        <v>2.1897422441410357</v>
      </c>
      <c r="X11">
        <f t="shared" si="0"/>
        <v>1.379935908478026E-2</v>
      </c>
      <c r="Y11">
        <f t="shared" si="1"/>
        <v>219.16451301511941</v>
      </c>
      <c r="Z11">
        <f t="shared" si="4"/>
        <v>2.5089743790509567</v>
      </c>
      <c r="AA11">
        <f t="shared" si="5"/>
        <v>2.2075394139315008</v>
      </c>
      <c r="AB11">
        <f t="shared" si="6"/>
        <v>1.1365479425722314</v>
      </c>
      <c r="AC11">
        <v>247.06680639675164</v>
      </c>
    </row>
    <row r="12" spans="1:31" x14ac:dyDescent="0.2">
      <c r="A12" t="s">
        <v>0</v>
      </c>
      <c r="B12" t="s">
        <v>10</v>
      </c>
      <c r="C12" s="2" t="s">
        <v>41</v>
      </c>
      <c r="D12" s="4" t="s">
        <v>68</v>
      </c>
      <c r="E12" s="4">
        <v>4</v>
      </c>
      <c r="F12">
        <v>1.3244922852859213</v>
      </c>
      <c r="G12">
        <v>6.4856878848228394</v>
      </c>
      <c r="H12">
        <v>218.43171399770733</v>
      </c>
      <c r="I12">
        <v>19.685248179403228</v>
      </c>
      <c r="J12">
        <v>0.96641509427694361</v>
      </c>
      <c r="K12">
        <v>15.895692464599502</v>
      </c>
      <c r="L12">
        <v>17.47462352076996</v>
      </c>
      <c r="M12">
        <v>45.282253824305165</v>
      </c>
      <c r="N12">
        <v>9.6602107312809368E-2</v>
      </c>
      <c r="O12">
        <v>3.377014314032404E-3</v>
      </c>
      <c r="P12">
        <v>8.3287011253041374E-2</v>
      </c>
      <c r="Q12">
        <v>3.0884230327830179E-3</v>
      </c>
      <c r="R12">
        <v>0.43924003179876875</v>
      </c>
      <c r="S12">
        <v>5.9434640668399917E-3</v>
      </c>
      <c r="T12">
        <v>0.37869763392169214</v>
      </c>
      <c r="U12">
        <v>1.0169233741542834E-3</v>
      </c>
      <c r="V12">
        <f t="shared" si="2"/>
        <v>1.3591478512973038E-4</v>
      </c>
      <c r="W12">
        <f t="shared" si="3"/>
        <v>2.1327046348734728</v>
      </c>
      <c r="X12">
        <f t="shared" si="0"/>
        <v>1.3603289507800811E-2</v>
      </c>
      <c r="Y12">
        <f t="shared" si="1"/>
        <v>213.45579552011779</v>
      </c>
      <c r="Z12">
        <f t="shared" si="4"/>
        <v>2.4733253650546931</v>
      </c>
      <c r="AA12">
        <f t="shared" si="5"/>
        <v>2.1500382304604932</v>
      </c>
      <c r="AB12">
        <f t="shared" si="6"/>
        <v>1.150363435409685</v>
      </c>
      <c r="AC12">
        <v>218.43171399770733</v>
      </c>
    </row>
    <row r="13" spans="1:31" x14ac:dyDescent="0.2">
      <c r="A13" t="s">
        <v>0</v>
      </c>
      <c r="B13" t="s">
        <v>11</v>
      </c>
      <c r="C13" s="2" t="s">
        <v>45</v>
      </c>
      <c r="D13" s="4" t="s">
        <v>68</v>
      </c>
      <c r="E13" s="4"/>
      <c r="F13">
        <v>1.3081440292087358</v>
      </c>
      <c r="G13">
        <v>6.0094659185272432</v>
      </c>
      <c r="H13">
        <v>221.35630060801955</v>
      </c>
      <c r="I13">
        <v>19.410276393833488</v>
      </c>
      <c r="J13">
        <v>0.79350979357986651</v>
      </c>
      <c r="K13">
        <v>15.74809501785283</v>
      </c>
      <c r="L13">
        <v>23.308749817709145</v>
      </c>
      <c r="M13">
        <v>62.512748584023385</v>
      </c>
      <c r="AC13">
        <v>221.35630060801955</v>
      </c>
      <c r="AE13" s="7" t="s">
        <v>46</v>
      </c>
    </row>
    <row r="14" spans="1:31" x14ac:dyDescent="0.2">
      <c r="A14" t="s">
        <v>0</v>
      </c>
      <c r="B14" t="s">
        <v>12</v>
      </c>
      <c r="C14" s="2" t="s">
        <v>42</v>
      </c>
      <c r="D14" s="4" t="s">
        <v>68</v>
      </c>
      <c r="E14" s="4">
        <v>4</v>
      </c>
      <c r="F14">
        <v>1.4717601344048605</v>
      </c>
      <c r="G14">
        <v>6.7204925698794984</v>
      </c>
      <c r="H14">
        <v>230.31890204975423</v>
      </c>
      <c r="I14">
        <v>18.902391052529889</v>
      </c>
      <c r="J14">
        <v>3.0758591947397695</v>
      </c>
      <c r="K14">
        <v>14.818881820090528</v>
      </c>
      <c r="L14">
        <v>19.593911628595208</v>
      </c>
      <c r="M14">
        <v>46.069786166823988</v>
      </c>
      <c r="N14">
        <v>0.10552467529276917</v>
      </c>
      <c r="O14">
        <v>6.1133180135337362E-3</v>
      </c>
      <c r="P14">
        <v>9.2195698250787522E-2</v>
      </c>
      <c r="Q14">
        <v>5.6213880343485654E-3</v>
      </c>
      <c r="R14">
        <v>0.45817645066355467</v>
      </c>
      <c r="S14">
        <v>7.7892390829879419E-3</v>
      </c>
      <c r="T14">
        <v>0.40030350885986998</v>
      </c>
      <c r="U14">
        <v>1.2679457836137552E-3</v>
      </c>
      <c r="V14">
        <f t="shared" si="2"/>
        <v>1.4177431321189086E-4</v>
      </c>
      <c r="W14">
        <f t="shared" si="3"/>
        <v>2.2543820510853649</v>
      </c>
      <c r="X14">
        <f>V14*100.0869</f>
        <v>1.41897515090072E-2</v>
      </c>
      <c r="Y14">
        <f>W14*100.0869</f>
        <v>225.63411090877582</v>
      </c>
      <c r="Z14">
        <f t="shared" si="4"/>
        <v>2.5799548198194908</v>
      </c>
      <c r="AA14">
        <f t="shared" si="5"/>
        <v>2.2727045820787248</v>
      </c>
      <c r="AB14">
        <f t="shared" si="6"/>
        <v>1.135191454341919</v>
      </c>
      <c r="AC14">
        <v>230.31890204975423</v>
      </c>
    </row>
    <row r="18" spans="18:23" x14ac:dyDescent="0.2">
      <c r="R18" s="6"/>
      <c r="S18" s="6"/>
      <c r="T18" s="6"/>
      <c r="U18" s="6"/>
      <c r="V18" s="6"/>
      <c r="W18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0B45-0723-6E4C-B26F-313DAAE9CD4A}">
  <dimension ref="A1:F13"/>
  <sheetViews>
    <sheetView workbookViewId="0">
      <selection activeCell="C2" sqref="C2"/>
    </sheetView>
  </sheetViews>
  <sheetFormatPr baseColWidth="10" defaultRowHeight="16" x14ac:dyDescent="0.2"/>
  <sheetData>
    <row r="1" spans="1:6" x14ac:dyDescent="0.2">
      <c r="A1" t="s">
        <v>51</v>
      </c>
      <c r="B1" t="s">
        <v>52</v>
      </c>
      <c r="C1" t="s">
        <v>60</v>
      </c>
    </row>
    <row r="2" spans="1:6" x14ac:dyDescent="0.2">
      <c r="A2">
        <v>2.7395226189757722E-2</v>
      </c>
      <c r="B2">
        <v>439.68541664084364</v>
      </c>
      <c r="C2" t="e" cm="1">
        <f t="array" ref="C2">zz</f>
        <v>#NAME?</v>
      </c>
      <c r="D2">
        <f>B2/ 99.28</f>
        <v>4.4287411023453229</v>
      </c>
    </row>
    <row r="3" spans="1:6" x14ac:dyDescent="0.2">
      <c r="A3">
        <v>4.7020141146981269E-2</v>
      </c>
      <c r="B3">
        <v>841.70134981858769</v>
      </c>
      <c r="C3">
        <f>A3/ 0.0055</f>
        <v>8.5491165721784128</v>
      </c>
      <c r="D3">
        <f t="shared" ref="D3:D13" si="0">B3/ 99.28</f>
        <v>8.4780554977698195</v>
      </c>
    </row>
    <row r="4" spans="1:6" x14ac:dyDescent="0.2">
      <c r="A4">
        <v>2.8669121655086123E-2</v>
      </c>
      <c r="B4">
        <v>445.73387574551327</v>
      </c>
      <c r="C4">
        <f t="shared" ref="C4:C13" si="1">A4/ 0.0055</f>
        <v>5.2125675736520227</v>
      </c>
      <c r="D4">
        <f t="shared" si="0"/>
        <v>4.4896643407082317</v>
      </c>
    </row>
    <row r="5" spans="1:6" x14ac:dyDescent="0.2">
      <c r="A5">
        <v>4.37581735405769E-2</v>
      </c>
      <c r="B5">
        <v>783.82147507835111</v>
      </c>
      <c r="C5">
        <f t="shared" si="1"/>
        <v>7.9560315528321643</v>
      </c>
      <c r="D5">
        <f t="shared" si="0"/>
        <v>7.895059176856881</v>
      </c>
    </row>
    <row r="6" spans="1:6" x14ac:dyDescent="0.2">
      <c r="A6">
        <v>1.904747344521154E-2</v>
      </c>
      <c r="B6">
        <v>301.16782507804282</v>
      </c>
      <c r="C6">
        <f t="shared" si="1"/>
        <v>3.4631769900384621</v>
      </c>
      <c r="D6">
        <f t="shared" si="0"/>
        <v>3.0335195918416882</v>
      </c>
    </row>
    <row r="7" spans="1:6" x14ac:dyDescent="0.2">
      <c r="A7">
        <v>1.9864994339311732E-2</v>
      </c>
      <c r="B7">
        <v>313.55973674322752</v>
      </c>
      <c r="C7">
        <f t="shared" si="1"/>
        <v>3.6118171526021334</v>
      </c>
      <c r="D7">
        <f t="shared" si="0"/>
        <v>3.1583373966884318</v>
      </c>
    </row>
    <row r="8" spans="1:6" x14ac:dyDescent="0.2">
      <c r="A8">
        <v>1.3508323883559981E-2</v>
      </c>
      <c r="B8">
        <v>214.39459428119741</v>
      </c>
      <c r="C8">
        <f t="shared" si="1"/>
        <v>2.4560588879199967</v>
      </c>
      <c r="D8">
        <f t="shared" si="0"/>
        <v>2.1594943017848247</v>
      </c>
      <c r="F8">
        <v>5.4999999999999997E-3</v>
      </c>
    </row>
    <row r="9" spans="1:6" x14ac:dyDescent="0.2">
      <c r="A9">
        <v>1.409141586634618E-2</v>
      </c>
      <c r="B9">
        <v>222.86518552136022</v>
      </c>
      <c r="C9">
        <f t="shared" si="1"/>
        <v>2.5620756120629418</v>
      </c>
      <c r="D9">
        <f t="shared" si="0"/>
        <v>2.244814519755844</v>
      </c>
    </row>
    <row r="10" spans="1:6" x14ac:dyDescent="0.2">
      <c r="A10">
        <v>1.379935908478026E-2</v>
      </c>
      <c r="B10">
        <v>219.16451301511941</v>
      </c>
      <c r="C10">
        <f t="shared" si="1"/>
        <v>2.5089743790509567</v>
      </c>
      <c r="D10">
        <f t="shared" si="0"/>
        <v>2.2075394139315008</v>
      </c>
    </row>
    <row r="11" spans="1:6" x14ac:dyDescent="0.2">
      <c r="A11">
        <v>1.3603289507800811E-2</v>
      </c>
      <c r="B11">
        <v>213.45579552011779</v>
      </c>
      <c r="C11">
        <f t="shared" si="1"/>
        <v>2.4733253650546931</v>
      </c>
      <c r="D11">
        <f t="shared" si="0"/>
        <v>2.1500382304604932</v>
      </c>
    </row>
    <row r="12" spans="1:6" x14ac:dyDescent="0.2">
      <c r="C12">
        <f t="shared" si="1"/>
        <v>0</v>
      </c>
      <c r="D12">
        <f t="shared" si="0"/>
        <v>0</v>
      </c>
    </row>
    <row r="13" spans="1:6" x14ac:dyDescent="0.2">
      <c r="A13">
        <v>1.41897515090072E-2</v>
      </c>
      <c r="B13">
        <v>225.63411090877582</v>
      </c>
      <c r="C13">
        <f t="shared" si="1"/>
        <v>2.5799548198194908</v>
      </c>
      <c r="D13">
        <f t="shared" si="0"/>
        <v>2.2727045820787248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F836-0A49-3E43-8E37-6BA61BFB5B6F}">
  <dimension ref="A1:AA18"/>
  <sheetViews>
    <sheetView tabSelected="1" topLeftCell="B1" workbookViewId="0">
      <selection activeCell="G20" sqref="G20"/>
    </sheetView>
  </sheetViews>
  <sheetFormatPr baseColWidth="10" defaultRowHeight="16" x14ac:dyDescent="0.2"/>
  <cols>
    <col min="2" max="3" width="12.1640625" bestFit="1" customWidth="1"/>
    <col min="4" max="4" width="12.1640625" customWidth="1"/>
    <col min="5" max="5" width="12.1640625" bestFit="1" customWidth="1"/>
    <col min="22" max="22" width="12.1640625" bestFit="1" customWidth="1"/>
    <col min="23" max="23" width="12.6640625" bestFit="1" customWidth="1"/>
    <col min="24" max="24" width="12.1640625" bestFit="1" customWidth="1"/>
    <col min="26" max="26" width="17.83203125" customWidth="1"/>
  </cols>
  <sheetData>
    <row r="1" spans="1:27" x14ac:dyDescent="0.2">
      <c r="A1" t="s">
        <v>13</v>
      </c>
      <c r="B1" t="s">
        <v>14</v>
      </c>
      <c r="C1" t="s">
        <v>15</v>
      </c>
      <c r="D1" t="s">
        <v>64</v>
      </c>
      <c r="E1" t="s">
        <v>16</v>
      </c>
      <c r="F1" t="s">
        <v>43</v>
      </c>
      <c r="N1" t="s">
        <v>44</v>
      </c>
      <c r="V1" t="s">
        <v>53</v>
      </c>
      <c r="Z1" t="s">
        <v>54</v>
      </c>
      <c r="AA1" s="5" t="s">
        <v>30</v>
      </c>
    </row>
    <row r="2" spans="1:27" x14ac:dyDescent="0.2"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28</v>
      </c>
      <c r="O2" t="s">
        <v>25</v>
      </c>
      <c r="P2" t="s">
        <v>29</v>
      </c>
      <c r="Q2" t="s">
        <v>25</v>
      </c>
      <c r="R2" t="s">
        <v>26</v>
      </c>
      <c r="S2" t="s">
        <v>25</v>
      </c>
      <c r="T2" t="s">
        <v>27</v>
      </c>
      <c r="U2" t="s">
        <v>25</v>
      </c>
      <c r="V2" t="s">
        <v>50</v>
      </c>
      <c r="W2" t="s">
        <v>49</v>
      </c>
      <c r="X2" t="s">
        <v>51</v>
      </c>
      <c r="Y2" t="s">
        <v>52</v>
      </c>
      <c r="Z2" t="s">
        <v>19</v>
      </c>
    </row>
    <row r="3" spans="1:27" x14ac:dyDescent="0.2">
      <c r="A3" t="s">
        <v>0</v>
      </c>
      <c r="B3" t="s">
        <v>1</v>
      </c>
      <c r="C3" t="s">
        <v>31</v>
      </c>
      <c r="D3">
        <v>1</v>
      </c>
      <c r="E3" s="1" t="s">
        <v>65</v>
      </c>
      <c r="F3">
        <v>2.4240384752474555</v>
      </c>
      <c r="G3">
        <v>11.994102980491613</v>
      </c>
      <c r="H3">
        <v>468.38955954380759</v>
      </c>
      <c r="I3">
        <v>17.210719873136657</v>
      </c>
      <c r="J3">
        <v>9.0461226093249802</v>
      </c>
      <c r="K3">
        <v>175.65853023117276</v>
      </c>
      <c r="L3">
        <v>556.80649953290072</v>
      </c>
      <c r="M3">
        <v>513.90317393468467</v>
      </c>
      <c r="N3">
        <v>0.61011236389919465</v>
      </c>
      <c r="O3">
        <v>9.659858120147833E-3</v>
      </c>
      <c r="P3">
        <v>0.53802649664980173</v>
      </c>
      <c r="Q3">
        <v>8.7594674974638773E-3</v>
      </c>
      <c r="R3">
        <v>0.88457133958835987</v>
      </c>
      <c r="S3">
        <v>1.398907150507946E-2</v>
      </c>
      <c r="T3">
        <v>0.78005765337052135</v>
      </c>
      <c r="U3">
        <v>2.5140929474624894E-3</v>
      </c>
      <c r="V3">
        <f>(((R3/(2.22*10^12))/(6.22*10^-3))/234.04095)*10^9</f>
        <v>2.7371440408043132E-4</v>
      </c>
      <c r="W3">
        <f>(((T3/(2.22*10^12))/(3.36*10^-7))/238.05079)*10^9</f>
        <v>4.3930366175877529</v>
      </c>
      <c r="X3">
        <f t="shared" ref="X3:X12" si="0">V3*100.0869</f>
        <v>2.7395226189757722E-2</v>
      </c>
      <c r="Y3">
        <f t="shared" ref="Y3:Y12" si="1">W3*100.0869</f>
        <v>439.68541664084364</v>
      </c>
      <c r="Z3">
        <v>468.38955954380799</v>
      </c>
    </row>
    <row r="4" spans="1:27" x14ac:dyDescent="0.2">
      <c r="A4" t="s">
        <v>0</v>
      </c>
      <c r="B4" t="s">
        <v>2</v>
      </c>
      <c r="C4" t="s">
        <v>32</v>
      </c>
      <c r="D4">
        <v>1</v>
      </c>
      <c r="E4" s="1" t="s">
        <v>65</v>
      </c>
      <c r="F4">
        <v>2.3029585788126603</v>
      </c>
      <c r="G4">
        <v>12.848314913862716</v>
      </c>
      <c r="H4">
        <v>447.94133990479213</v>
      </c>
      <c r="I4">
        <v>17.48493818558244</v>
      </c>
      <c r="J4">
        <v>8.1723364792775737</v>
      </c>
      <c r="K4">
        <v>174.43419391518393</v>
      </c>
      <c r="L4">
        <v>588.74721751902257</v>
      </c>
      <c r="M4">
        <v>627.11718748768214</v>
      </c>
      <c r="N4" s="6">
        <v>0.32184415565315633</v>
      </c>
      <c r="O4" s="6">
        <v>1.9759427368043841E-2</v>
      </c>
      <c r="P4" s="6">
        <v>0.31655296802723609</v>
      </c>
      <c r="Q4" s="6">
        <v>1.9631098958537853E-2</v>
      </c>
      <c r="R4" s="6">
        <v>1.5182451480385759</v>
      </c>
      <c r="S4" s="6">
        <v>2.7959826102772593E-2</v>
      </c>
      <c r="T4" s="6">
        <v>1.4932848689739704</v>
      </c>
      <c r="U4" s="6">
        <v>1.7982019455003682E-2</v>
      </c>
      <c r="V4" s="6">
        <f t="shared" ref="V4:V14" si="2">(((R4/(2.22*10^12))/(6.22*10^-3))/234.04095)*10^9</f>
        <v>4.6979316121271883E-4</v>
      </c>
      <c r="W4" s="6">
        <f t="shared" ref="W4:W14" si="3">(((T4/(2.22*10^12))/(3.36*10^-7))/238.05079)*10^9</f>
        <v>8.4097054641375415</v>
      </c>
      <c r="X4" s="6">
        <f t="shared" si="0"/>
        <v>4.7020141146981269E-2</v>
      </c>
      <c r="Y4" s="6">
        <f t="shared" si="1"/>
        <v>841.70134981858769</v>
      </c>
      <c r="Z4" s="6">
        <v>447.94133990479213</v>
      </c>
      <c r="AA4" s="6" t="s">
        <v>33</v>
      </c>
    </row>
    <row r="5" spans="1:27" x14ac:dyDescent="0.2">
      <c r="A5" t="s">
        <v>0</v>
      </c>
      <c r="B5" t="s">
        <v>3</v>
      </c>
      <c r="C5" s="2" t="s">
        <v>34</v>
      </c>
      <c r="D5" s="2">
        <v>1</v>
      </c>
      <c r="E5" s="1" t="s">
        <v>65</v>
      </c>
      <c r="F5">
        <v>2.345928293878571</v>
      </c>
      <c r="G5">
        <v>12.4210935332361</v>
      </c>
      <c r="H5">
        <v>449.29715930327058</v>
      </c>
      <c r="I5">
        <v>17.329182493403763</v>
      </c>
      <c r="J5">
        <v>9.0241428147331195</v>
      </c>
      <c r="K5">
        <v>165.6397343820345</v>
      </c>
      <c r="L5">
        <v>521.81682436992435</v>
      </c>
      <c r="M5">
        <v>548.66957616592072</v>
      </c>
      <c r="N5">
        <v>0.6113403454519396</v>
      </c>
      <c r="O5">
        <v>1.1098193331586362E-2</v>
      </c>
      <c r="P5">
        <v>0.52224101843495452</v>
      </c>
      <c r="Q5">
        <v>9.7325829515663188E-3</v>
      </c>
      <c r="R5">
        <v>0.92570447024607938</v>
      </c>
      <c r="S5">
        <v>1.5014527363940051E-2</v>
      </c>
      <c r="T5">
        <v>0.79078838638355209</v>
      </c>
      <c r="U5">
        <v>2.8617150934306121E-3</v>
      </c>
      <c r="V5">
        <f t="shared" si="2"/>
        <v>2.8644229819373086E-4</v>
      </c>
      <c r="W5">
        <f t="shared" si="3"/>
        <v>4.4534686931607759</v>
      </c>
      <c r="X5">
        <f t="shared" si="0"/>
        <v>2.8669121655086123E-2</v>
      </c>
      <c r="Y5">
        <f t="shared" si="1"/>
        <v>445.73387574551327</v>
      </c>
      <c r="Z5">
        <v>449.29715930327058</v>
      </c>
    </row>
    <row r="6" spans="1:27" x14ac:dyDescent="0.2">
      <c r="A6" t="s">
        <v>0</v>
      </c>
      <c r="B6" t="s">
        <v>4</v>
      </c>
      <c r="C6" s="2" t="s">
        <v>36</v>
      </c>
      <c r="D6" s="2">
        <v>2</v>
      </c>
      <c r="E6" s="4" t="s">
        <v>66</v>
      </c>
      <c r="F6">
        <v>1.5770705354627657</v>
      </c>
      <c r="G6">
        <v>6.7189407304641602</v>
      </c>
      <c r="H6">
        <v>302.79267025152586</v>
      </c>
      <c r="I6">
        <v>18.657383483251486</v>
      </c>
      <c r="J6">
        <v>3.1512495171605153</v>
      </c>
      <c r="K6">
        <v>48.952169951362642</v>
      </c>
      <c r="L6">
        <v>174.51428541350577</v>
      </c>
      <c r="M6">
        <v>219.93697957266215</v>
      </c>
      <c r="N6" s="6">
        <v>0.11545108744532581</v>
      </c>
      <c r="O6" s="6">
        <v>3.5591381972850744E-3</v>
      </c>
      <c r="P6" s="6">
        <v>0.11362729477299752</v>
      </c>
      <c r="Q6" s="6">
        <v>3.6524543911072216E-3</v>
      </c>
      <c r="R6" s="6">
        <v>1.4129186566526521</v>
      </c>
      <c r="S6" s="6">
        <v>2.513698068564111E-2</v>
      </c>
      <c r="T6" s="6">
        <v>1.3905986356842974</v>
      </c>
      <c r="U6" s="6">
        <v>1.8112674916098581E-2</v>
      </c>
      <c r="V6" s="6">
        <f t="shared" si="2"/>
        <v>4.3720180703545519E-4</v>
      </c>
      <c r="W6" s="6">
        <f t="shared" si="3"/>
        <v>7.8314092561399251</v>
      </c>
      <c r="X6" s="6">
        <f t="shared" si="0"/>
        <v>4.37581735405769E-2</v>
      </c>
      <c r="Y6" s="6">
        <f t="shared" si="1"/>
        <v>783.82147507835111</v>
      </c>
      <c r="Z6" s="6">
        <v>302.79267025152586</v>
      </c>
      <c r="AA6" s="6" t="s">
        <v>33</v>
      </c>
    </row>
    <row r="7" spans="1:27" x14ac:dyDescent="0.2">
      <c r="A7" t="s">
        <v>0</v>
      </c>
      <c r="B7" t="s">
        <v>5</v>
      </c>
      <c r="C7" s="2" t="s">
        <v>35</v>
      </c>
      <c r="D7" s="2">
        <v>2</v>
      </c>
      <c r="E7" s="4" t="s">
        <v>66</v>
      </c>
      <c r="F7">
        <v>1.5979015509006576</v>
      </c>
      <c r="G7">
        <v>7.0066786694995518</v>
      </c>
      <c r="H7">
        <v>308.31198972930645</v>
      </c>
      <c r="I7">
        <v>18.821290469293292</v>
      </c>
      <c r="J7">
        <v>3.4112927201749854</v>
      </c>
      <c r="K7">
        <v>47.295715951994339</v>
      </c>
      <c r="L7">
        <v>167.46871571763438</v>
      </c>
      <c r="M7">
        <v>156.34316228209411</v>
      </c>
      <c r="N7">
        <v>0.28793120032151515</v>
      </c>
      <c r="O7">
        <v>8.8994850722590793E-3</v>
      </c>
      <c r="P7">
        <v>0.25014198454203973</v>
      </c>
      <c r="Q7">
        <v>8.3584493007054679E-3</v>
      </c>
      <c r="R7">
        <v>0.61502865442679866</v>
      </c>
      <c r="S7">
        <v>1.5491320210685619E-2</v>
      </c>
      <c r="T7">
        <v>0.53430989068482693</v>
      </c>
      <c r="U7">
        <v>1.5663645505708649E-3</v>
      </c>
      <c r="V7">
        <f t="shared" si="2"/>
        <v>1.9030935562207982E-4</v>
      </c>
      <c r="W7">
        <f t="shared" si="3"/>
        <v>3.0090633747078073</v>
      </c>
      <c r="X7">
        <f t="shared" si="0"/>
        <v>1.904747344521154E-2</v>
      </c>
      <c r="Y7">
        <f t="shared" si="1"/>
        <v>301.16782507804282</v>
      </c>
      <c r="Z7">
        <v>308.31198972930645</v>
      </c>
    </row>
    <row r="8" spans="1:27" x14ac:dyDescent="0.2">
      <c r="A8" t="s">
        <v>0</v>
      </c>
      <c r="B8" t="s">
        <v>6</v>
      </c>
      <c r="C8" s="2" t="s">
        <v>37</v>
      </c>
      <c r="D8" s="2">
        <v>2</v>
      </c>
      <c r="E8" s="4" t="s">
        <v>66</v>
      </c>
      <c r="F8">
        <v>1.6682384240136723</v>
      </c>
      <c r="G8">
        <v>7.2962224303392018</v>
      </c>
      <c r="H8">
        <v>320.71440975593009</v>
      </c>
      <c r="I8">
        <v>18.326195021745924</v>
      </c>
      <c r="J8">
        <v>3.5690384469412031</v>
      </c>
      <c r="K8">
        <v>44.414757823823244</v>
      </c>
      <c r="L8">
        <v>157.62759062691416</v>
      </c>
      <c r="M8">
        <v>141.92032139848197</v>
      </c>
      <c r="N8">
        <v>0.26745036769803937</v>
      </c>
      <c r="O8">
        <v>1.1832331707506256E-2</v>
      </c>
      <c r="P8">
        <v>0.23195391778314434</v>
      </c>
      <c r="Q8">
        <v>1.0783570590813113E-2</v>
      </c>
      <c r="R8">
        <v>0.64142579192172633</v>
      </c>
      <c r="S8">
        <v>1.4868572449519658E-2</v>
      </c>
      <c r="T8">
        <v>0.55629471248803608</v>
      </c>
      <c r="U8">
        <v>2.3661545080180995E-3</v>
      </c>
      <c r="V8">
        <f t="shared" si="2"/>
        <v>1.9847746647475074E-4</v>
      </c>
      <c r="W8">
        <f t="shared" si="3"/>
        <v>3.1328748991449182</v>
      </c>
      <c r="X8">
        <f t="shared" si="0"/>
        <v>1.9864994339311732E-2</v>
      </c>
      <c r="Y8">
        <f t="shared" si="1"/>
        <v>313.55973674322752</v>
      </c>
      <c r="Z8">
        <v>320.71440975593009</v>
      </c>
    </row>
    <row r="9" spans="1:27" x14ac:dyDescent="0.2">
      <c r="A9" t="s">
        <v>0</v>
      </c>
      <c r="B9" t="s">
        <v>7</v>
      </c>
      <c r="C9" s="2" t="s">
        <v>38</v>
      </c>
      <c r="D9" s="2">
        <v>3</v>
      </c>
      <c r="E9" s="4" t="s">
        <v>67</v>
      </c>
      <c r="F9">
        <v>1.3415621166647502</v>
      </c>
      <c r="G9">
        <v>5.7020981777185344</v>
      </c>
      <c r="H9">
        <v>223.36742932630972</v>
      </c>
      <c r="I9">
        <v>18.673299261589669</v>
      </c>
      <c r="J9">
        <v>1.1983217414583234</v>
      </c>
      <c r="K9">
        <v>15.484944635332528</v>
      </c>
      <c r="L9">
        <v>25.883426323940235</v>
      </c>
      <c r="M9">
        <v>72.380084089451174</v>
      </c>
      <c r="N9">
        <v>0.11467667624357794</v>
      </c>
      <c r="O9">
        <v>4.7935019894853655E-3</v>
      </c>
      <c r="P9">
        <v>0.10000325369432765</v>
      </c>
      <c r="Q9">
        <v>4.7882548765769859E-3</v>
      </c>
      <c r="R9">
        <v>0.43617366290414139</v>
      </c>
      <c r="S9">
        <v>1.0863870018925463E-2</v>
      </c>
      <c r="T9">
        <v>0.38036318190404228</v>
      </c>
      <c r="U9">
        <v>1.4264766471405556E-3</v>
      </c>
      <c r="V9">
        <f t="shared" si="2"/>
        <v>1.3496595342207604E-4</v>
      </c>
      <c r="W9">
        <f t="shared" si="3"/>
        <v>2.1420844714063221</v>
      </c>
      <c r="X9">
        <f t="shared" si="0"/>
        <v>1.3508323883559981E-2</v>
      </c>
      <c r="Y9">
        <f t="shared" si="1"/>
        <v>214.39459428119741</v>
      </c>
      <c r="Z9">
        <v>223.36742932630972</v>
      </c>
    </row>
    <row r="10" spans="1:27" x14ac:dyDescent="0.2">
      <c r="A10" t="s">
        <v>0</v>
      </c>
      <c r="B10" t="s">
        <v>8</v>
      </c>
      <c r="C10" s="2" t="s">
        <v>39</v>
      </c>
      <c r="D10" s="2">
        <v>3</v>
      </c>
      <c r="E10" s="4" t="s">
        <v>67</v>
      </c>
      <c r="F10">
        <v>1.5575845128239232</v>
      </c>
      <c r="G10">
        <v>5.9421197851468381</v>
      </c>
      <c r="H10">
        <v>236.96242951649464</v>
      </c>
      <c r="I10">
        <v>29.761961607080888</v>
      </c>
      <c r="J10">
        <v>1.4098955149865431</v>
      </c>
      <c r="K10">
        <v>15.630759401881026</v>
      </c>
      <c r="L10">
        <v>25.786920422638271</v>
      </c>
      <c r="M10">
        <v>53.637733087144142</v>
      </c>
      <c r="N10">
        <v>0.10715733028928495</v>
      </c>
      <c r="O10">
        <v>4.8073149006271779E-3</v>
      </c>
      <c r="P10">
        <v>9.3118538656026081E-2</v>
      </c>
      <c r="Q10">
        <v>4.3796363697899705E-3</v>
      </c>
      <c r="R10">
        <v>0.4550012663976748</v>
      </c>
      <c r="S10">
        <v>6.6397480068390528E-3</v>
      </c>
      <c r="T10">
        <v>0.39539108429831171</v>
      </c>
      <c r="U10">
        <v>1.3950254070308659E-3</v>
      </c>
      <c r="V10">
        <f t="shared" si="2"/>
        <v>1.4079181058006772E-4</v>
      </c>
      <c r="W10">
        <f t="shared" si="3"/>
        <v>2.2267168382811358</v>
      </c>
      <c r="X10">
        <f t="shared" si="0"/>
        <v>1.409141586634618E-2</v>
      </c>
      <c r="Y10">
        <f t="shared" si="1"/>
        <v>222.86518552136022</v>
      </c>
      <c r="Z10">
        <v>236.96242951649464</v>
      </c>
    </row>
    <row r="11" spans="1:27" x14ac:dyDescent="0.2">
      <c r="A11" t="s">
        <v>0</v>
      </c>
      <c r="B11" t="s">
        <v>9</v>
      </c>
      <c r="C11" s="2" t="s">
        <v>40</v>
      </c>
      <c r="D11" s="2">
        <v>3</v>
      </c>
      <c r="E11" s="4" t="s">
        <v>67</v>
      </c>
      <c r="F11">
        <v>1.4277933288311244</v>
      </c>
      <c r="G11">
        <v>6.3871622724129553</v>
      </c>
      <c r="H11">
        <v>247.06680639675164</v>
      </c>
      <c r="I11">
        <v>18.790528988644279</v>
      </c>
      <c r="J11">
        <v>0.92571492034021241</v>
      </c>
      <c r="K11">
        <v>15.710662717164421</v>
      </c>
      <c r="L11">
        <v>30.053589541503872</v>
      </c>
      <c r="M11">
        <v>59.876917988874879</v>
      </c>
      <c r="N11">
        <v>0.10381470441637841</v>
      </c>
      <c r="O11">
        <v>3.6417684292928323E-3</v>
      </c>
      <c r="P11">
        <v>9.0593462356721971E-2</v>
      </c>
      <c r="Q11">
        <v>3.4922246772751049E-3</v>
      </c>
      <c r="R11">
        <v>0.44557097161871734</v>
      </c>
      <c r="S11">
        <v>8.0681617295171419E-3</v>
      </c>
      <c r="T11">
        <v>0.38882562226146411</v>
      </c>
      <c r="U11">
        <v>1.536652745364092E-3</v>
      </c>
      <c r="V11">
        <f t="shared" si="2"/>
        <v>1.3787377853425632E-4</v>
      </c>
      <c r="W11">
        <f t="shared" si="3"/>
        <v>2.1897422441410357</v>
      </c>
      <c r="X11">
        <f t="shared" si="0"/>
        <v>1.379935908478026E-2</v>
      </c>
      <c r="Y11">
        <f t="shared" si="1"/>
        <v>219.16451301511941</v>
      </c>
      <c r="Z11">
        <v>247.06680639675164</v>
      </c>
    </row>
    <row r="12" spans="1:27" x14ac:dyDescent="0.2">
      <c r="A12" t="s">
        <v>0</v>
      </c>
      <c r="B12" t="s">
        <v>10</v>
      </c>
      <c r="C12" s="2" t="s">
        <v>41</v>
      </c>
      <c r="D12" s="2">
        <v>4</v>
      </c>
      <c r="E12" s="4" t="s">
        <v>68</v>
      </c>
      <c r="F12">
        <v>1.3244922852859213</v>
      </c>
      <c r="G12">
        <v>6.4856878848228394</v>
      </c>
      <c r="H12">
        <v>218.43171399770733</v>
      </c>
      <c r="I12">
        <v>19.685248179403228</v>
      </c>
      <c r="J12">
        <v>0.96641509427694361</v>
      </c>
      <c r="K12">
        <v>15.895692464599502</v>
      </c>
      <c r="L12">
        <v>17.47462352076996</v>
      </c>
      <c r="M12">
        <v>45.282253824305165</v>
      </c>
      <c r="N12">
        <v>9.6602107312809368E-2</v>
      </c>
      <c r="O12">
        <v>3.377014314032404E-3</v>
      </c>
      <c r="P12">
        <v>8.3287011253041374E-2</v>
      </c>
      <c r="Q12">
        <v>3.0884230327830179E-3</v>
      </c>
      <c r="R12">
        <v>0.43924003179876875</v>
      </c>
      <c r="S12">
        <v>5.9434640668399917E-3</v>
      </c>
      <c r="T12">
        <v>0.37869763392169214</v>
      </c>
      <c r="U12">
        <v>1.0169233741542834E-3</v>
      </c>
      <c r="V12">
        <f t="shared" si="2"/>
        <v>1.3591478512973038E-4</v>
      </c>
      <c r="W12">
        <f t="shared" si="3"/>
        <v>2.1327046348734728</v>
      </c>
      <c r="X12">
        <f t="shared" si="0"/>
        <v>1.3603289507800811E-2</v>
      </c>
      <c r="Y12">
        <f t="shared" si="1"/>
        <v>213.45579552011779</v>
      </c>
      <c r="Z12">
        <v>218.43171399770733</v>
      </c>
    </row>
    <row r="13" spans="1:27" x14ac:dyDescent="0.2">
      <c r="A13" t="s">
        <v>0</v>
      </c>
      <c r="B13" t="s">
        <v>11</v>
      </c>
      <c r="C13" s="2" t="s">
        <v>45</v>
      </c>
      <c r="D13" s="2">
        <v>4</v>
      </c>
      <c r="E13" s="4" t="s">
        <v>68</v>
      </c>
      <c r="F13">
        <v>1.3081440292087358</v>
      </c>
      <c r="G13">
        <v>6.0094659185272432</v>
      </c>
      <c r="H13">
        <v>221.35630060801955</v>
      </c>
      <c r="I13">
        <v>19.410276393833488</v>
      </c>
      <c r="J13">
        <v>0.79350979357986651</v>
      </c>
      <c r="K13">
        <v>15.74809501785283</v>
      </c>
      <c r="L13">
        <v>23.308749817709145</v>
      </c>
      <c r="M13">
        <v>62.512748584023385</v>
      </c>
      <c r="Z13">
        <v>221.35630060801955</v>
      </c>
      <c r="AA13" s="7" t="s">
        <v>46</v>
      </c>
    </row>
    <row r="14" spans="1:27" x14ac:dyDescent="0.2">
      <c r="A14" t="s">
        <v>0</v>
      </c>
      <c r="B14" t="s">
        <v>12</v>
      </c>
      <c r="C14" s="2" t="s">
        <v>42</v>
      </c>
      <c r="D14" s="2">
        <v>4</v>
      </c>
      <c r="E14" s="4" t="s">
        <v>68</v>
      </c>
      <c r="F14">
        <v>1.4717601344048605</v>
      </c>
      <c r="G14">
        <v>6.7204925698794984</v>
      </c>
      <c r="H14">
        <v>230.31890204975423</v>
      </c>
      <c r="I14">
        <v>18.902391052529889</v>
      </c>
      <c r="J14">
        <v>3.0758591947397695</v>
      </c>
      <c r="K14">
        <v>14.818881820090528</v>
      </c>
      <c r="L14">
        <v>19.593911628595208</v>
      </c>
      <c r="M14">
        <v>46.069786166823988</v>
      </c>
      <c r="N14">
        <v>0.10552467529276917</v>
      </c>
      <c r="O14">
        <v>6.1133180135337362E-3</v>
      </c>
      <c r="P14">
        <v>9.2195698250787522E-2</v>
      </c>
      <c r="Q14">
        <v>5.6213880343485654E-3</v>
      </c>
      <c r="R14">
        <v>0.45817645066355467</v>
      </c>
      <c r="S14">
        <v>7.7892390829879419E-3</v>
      </c>
      <c r="T14">
        <v>0.40030350885986998</v>
      </c>
      <c r="U14">
        <v>1.2679457836137552E-3</v>
      </c>
      <c r="V14">
        <f t="shared" si="2"/>
        <v>1.4177431321189086E-4</v>
      </c>
      <c r="W14">
        <f t="shared" si="3"/>
        <v>2.2543820510853649</v>
      </c>
      <c r="X14">
        <f>V14*100.0869</f>
        <v>1.41897515090072E-2</v>
      </c>
      <c r="Y14">
        <f>W14*100.0869</f>
        <v>225.63411090877582</v>
      </c>
      <c r="Z14">
        <v>230.31890204975423</v>
      </c>
    </row>
    <row r="18" spans="18:23" x14ac:dyDescent="0.2">
      <c r="R18" s="6"/>
      <c r="S18" s="6"/>
      <c r="T18" s="6"/>
      <c r="U18" s="6"/>
      <c r="V18" s="6"/>
      <c r="W18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F7F1-9C4E-C945-8F7E-E3E5F6622C6B}">
  <dimension ref="A1:A4"/>
  <sheetViews>
    <sheetView workbookViewId="0">
      <selection sqref="A1:A4"/>
    </sheetView>
  </sheetViews>
  <sheetFormatPr baseColWidth="10" defaultRowHeight="16" x14ac:dyDescent="0.2"/>
  <sheetData>
    <row r="1" spans="1:1" x14ac:dyDescent="0.2">
      <c r="A1" t="s">
        <v>55</v>
      </c>
    </row>
    <row r="2" spans="1:1" x14ac:dyDescent="0.2">
      <c r="A2" t="s">
        <v>59</v>
      </c>
    </row>
    <row r="3" spans="1:1" x14ac:dyDescent="0.2">
      <c r="A3" t="s">
        <v>47</v>
      </c>
    </row>
    <row r="4" spans="1:1" x14ac:dyDescent="0.2">
      <c r="A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 sedimentary pteropods</vt:lpstr>
      <vt:lpstr>Sheet1</vt:lpstr>
      <vt:lpstr>workup for cleaning types</vt:lpstr>
      <vt:lpstr>unit 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cshepp</dc:creator>
  <cp:lastModifiedBy>cshepp</cp:lastModifiedBy>
  <dcterms:created xsi:type="dcterms:W3CDTF">2025-09-18T21:39:04Z</dcterms:created>
  <dcterms:modified xsi:type="dcterms:W3CDTF">2025-11-25T21:23:34Z</dcterms:modified>
</cp:coreProperties>
</file>
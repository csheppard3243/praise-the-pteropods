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clairesheppard/Downloads/"/>
    </mc:Choice>
  </mc:AlternateContent>
  <xr:revisionPtr revIDLastSave="0" documentId="8_{DB985B29-B0EC-9C43-B2FD-EB2C0C625930}" xr6:coauthVersionLast="47" xr6:coauthVersionMax="47" xr10:uidLastSave="{00000000-0000-0000-0000-000000000000}"/>
  <bookViews>
    <workbookView xWindow="1480" yWindow="1760" windowWidth="27240" windowHeight="16240" activeTab="1" xr2:uid="{5426609D-28EC-8C45-AD40-7F8D452BB8DD}"/>
  </bookViews>
  <sheets>
    <sheet name="OCE205-2-60BC_all+data(all+data" sheetId="1" r:id="rId1"/>
    <sheet name="tempworkup" sheetId="2" r:id="rId2"/>
    <sheet name="equations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3" i="2" l="1"/>
  <c r="E4" i="2"/>
  <c r="E5" i="2"/>
  <c r="E6" i="2"/>
  <c r="E7" i="2"/>
  <c r="E8" i="2"/>
  <c r="E9" i="2"/>
  <c r="E10" i="2"/>
  <c r="E11" i="2"/>
  <c r="E12" i="2"/>
  <c r="E13" i="2"/>
  <c r="E2" i="2"/>
</calcChain>
</file>

<file path=xl/sharedStrings.xml><?xml version="1.0" encoding="utf-8"?>
<sst xmlns="http://schemas.openxmlformats.org/spreadsheetml/2006/main" count="90" uniqueCount="46">
  <si>
    <t>SAMPLE PREPARATION</t>
  </si>
  <si>
    <t>RADIOCARBON</t>
  </si>
  <si>
    <t>STABLE ISOTOPES</t>
  </si>
  <si>
    <t>Me/Ca</t>
  </si>
  <si>
    <t>Vial</t>
  </si>
  <si>
    <t>for plot</t>
  </si>
  <si>
    <t>Name of Test</t>
  </si>
  <si>
    <t>Actual Starting Mass</t>
  </si>
  <si>
    <t>d18O+d13C mass</t>
  </si>
  <si>
    <t>14C mass</t>
  </si>
  <si>
    <t>Bulk mass</t>
  </si>
  <si>
    <t xml:space="preserve">Mass Lost </t>
  </si>
  <si>
    <t>14C age</t>
  </si>
  <si>
    <t>1s</t>
  </si>
  <si>
    <t>mean d13C (PDB)</t>
  </si>
  <si>
    <t>mean d18O (PDB)</t>
  </si>
  <si>
    <t>Sr/Ca [mmol/mol]</t>
  </si>
  <si>
    <t>Ba/Ca [umol/mol]</t>
  </si>
  <si>
    <t>U/Ca [nmol/mol]</t>
  </si>
  <si>
    <t>Na_Ca [mmol/mol]</t>
  </si>
  <si>
    <t>Mg_Ca [mmol/mol]</t>
  </si>
  <si>
    <t>Mn_Ca [umol/mol]</t>
  </si>
  <si>
    <t>Fe_Ca [umol/mol]</t>
  </si>
  <si>
    <t>Al_Ca [umol/mol]</t>
  </si>
  <si>
    <t>1A</t>
  </si>
  <si>
    <t>1B</t>
  </si>
  <si>
    <t>1C</t>
  </si>
  <si>
    <t>2A</t>
  </si>
  <si>
    <t>2B</t>
  </si>
  <si>
    <t>2C</t>
  </si>
  <si>
    <t>3A</t>
  </si>
  <si>
    <t>3B</t>
  </si>
  <si>
    <t>3C</t>
  </si>
  <si>
    <t>4A</t>
  </si>
  <si>
    <t>4B</t>
  </si>
  <si>
    <t>4C</t>
  </si>
  <si>
    <t>temp calc</t>
  </si>
  <si>
    <t>18O = -0.237(T) + 4.75+18OSW-0.27</t>
  </si>
  <si>
    <t>globally avg modern seawater 18O = -0.28</t>
  </si>
  <si>
    <t>T= (18O -4.75 -(-0.55))/ -0.237</t>
  </si>
  <si>
    <t>depth</t>
  </si>
  <si>
    <t xml:space="preserve">temp (C°) </t>
  </si>
  <si>
    <t>Sonic</t>
  </si>
  <si>
    <t>No clean</t>
  </si>
  <si>
    <t>Sonic+red</t>
  </si>
  <si>
    <t>Sonic +red+ox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</si>
</sst>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9" fontId="0" fillId="0" borderId="0" xfId="0" applyNumberFormat="1"/>
    <xf numFmtId="3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918CF7-28FB-F24A-8694-44894F45251D}">
  <dimension ref="A1:T18"/>
  <sheetViews>
    <sheetView workbookViewId="0">
      <selection activeCell="C17" sqref="C17"/>
    </sheetView>
  </sheetViews>
  <sheetFormatPr baseColWidth="10" defaultRowHeight="16" x14ac:dyDescent="0.2"/>
  <sheetData>
    <row r="1" spans="1:20" x14ac:dyDescent="0.2">
      <c r="D1" t="s">
        <v>0</v>
      </c>
      <c r="I1" t="s">
        <v>1</v>
      </c>
      <c r="K1" t="s">
        <v>2</v>
      </c>
      <c r="M1" t="s">
        <v>3</v>
      </c>
    </row>
    <row r="3" spans="1:20" x14ac:dyDescent="0.2">
      <c r="A3" t="s">
        <v>4</v>
      </c>
      <c r="B3" t="s">
        <v>5</v>
      </c>
      <c r="C3" t="s">
        <v>6</v>
      </c>
      <c r="D3" t="s">
        <v>7</v>
      </c>
      <c r="E3" t="s">
        <v>8</v>
      </c>
      <c r="F3" t="s">
        <v>9</v>
      </c>
      <c r="G3" t="s">
        <v>10</v>
      </c>
      <c r="H3" t="s">
        <v>11</v>
      </c>
      <c r="I3" t="s">
        <v>12</v>
      </c>
      <c r="J3" t="s">
        <v>13</v>
      </c>
      <c r="K3" t="s">
        <v>14</v>
      </c>
      <c r="L3" t="s">
        <v>15</v>
      </c>
      <c r="M3" t="s">
        <v>16</v>
      </c>
      <c r="N3" t="s">
        <v>17</v>
      </c>
      <c r="O3" t="s">
        <v>18</v>
      </c>
      <c r="P3" t="s">
        <v>19</v>
      </c>
      <c r="Q3" t="s">
        <v>20</v>
      </c>
      <c r="R3" t="s">
        <v>21</v>
      </c>
      <c r="S3" t="s">
        <v>22</v>
      </c>
      <c r="T3" t="s">
        <v>23</v>
      </c>
    </row>
    <row r="4" spans="1:20" x14ac:dyDescent="0.2">
      <c r="A4" t="s">
        <v>24</v>
      </c>
      <c r="B4">
        <v>1</v>
      </c>
      <c r="C4" t="s">
        <v>43</v>
      </c>
      <c r="D4">
        <v>110</v>
      </c>
      <c r="E4">
        <v>0.6</v>
      </c>
      <c r="F4">
        <v>4.5</v>
      </c>
      <c r="G4">
        <v>102.7</v>
      </c>
      <c r="H4" s="1">
        <v>0.02</v>
      </c>
      <c r="I4" s="2">
        <v>3670</v>
      </c>
      <c r="J4">
        <v>85</v>
      </c>
      <c r="K4">
        <v>1.3</v>
      </c>
      <c r="L4">
        <v>0.05</v>
      </c>
      <c r="M4">
        <v>2.42</v>
      </c>
      <c r="N4">
        <v>11.99</v>
      </c>
      <c r="O4">
        <v>468</v>
      </c>
      <c r="P4">
        <v>17.21</v>
      </c>
      <c r="Q4">
        <v>9.0500000000000007</v>
      </c>
      <c r="R4">
        <v>175.66</v>
      </c>
      <c r="S4">
        <v>556.80999999999995</v>
      </c>
      <c r="T4">
        <v>514</v>
      </c>
    </row>
    <row r="5" spans="1:20" x14ac:dyDescent="0.2">
      <c r="A5" t="s">
        <v>25</v>
      </c>
      <c r="B5">
        <v>1</v>
      </c>
      <c r="C5" t="s">
        <v>43</v>
      </c>
      <c r="D5">
        <v>110</v>
      </c>
      <c r="E5">
        <v>0.9</v>
      </c>
      <c r="F5">
        <v>3.7</v>
      </c>
      <c r="G5">
        <v>102.1</v>
      </c>
      <c r="H5" s="1">
        <v>0.03</v>
      </c>
      <c r="I5" s="2">
        <v>3860</v>
      </c>
      <c r="J5">
        <v>85</v>
      </c>
      <c r="K5">
        <v>1.54</v>
      </c>
      <c r="L5">
        <v>-0.03</v>
      </c>
      <c r="M5">
        <v>2.2999999999999998</v>
      </c>
      <c r="N5">
        <v>12.85</v>
      </c>
      <c r="O5">
        <v>448</v>
      </c>
      <c r="P5">
        <v>17.48</v>
      </c>
      <c r="Q5">
        <v>8.17</v>
      </c>
      <c r="R5">
        <v>174.43</v>
      </c>
      <c r="S5">
        <v>588.75</v>
      </c>
      <c r="T5">
        <v>627</v>
      </c>
    </row>
    <row r="6" spans="1:20" x14ac:dyDescent="0.2">
      <c r="A6" t="s">
        <v>26</v>
      </c>
      <c r="B6">
        <v>1</v>
      </c>
      <c r="C6" t="s">
        <v>43</v>
      </c>
      <c r="D6">
        <v>111</v>
      </c>
      <c r="E6">
        <v>1</v>
      </c>
      <c r="F6">
        <v>3.4</v>
      </c>
      <c r="G6">
        <v>102.1</v>
      </c>
      <c r="H6" s="1">
        <v>0.04</v>
      </c>
      <c r="I6" s="2">
        <v>3910</v>
      </c>
      <c r="J6">
        <v>90</v>
      </c>
      <c r="K6">
        <v>1.45</v>
      </c>
      <c r="L6">
        <v>-0.04</v>
      </c>
      <c r="M6">
        <v>2.35</v>
      </c>
      <c r="N6">
        <v>12.42</v>
      </c>
      <c r="O6">
        <v>449</v>
      </c>
      <c r="P6">
        <v>17.329999999999998</v>
      </c>
      <c r="Q6">
        <v>9.02</v>
      </c>
      <c r="R6">
        <v>165.64</v>
      </c>
      <c r="S6">
        <v>521.82000000000005</v>
      </c>
      <c r="T6">
        <v>549</v>
      </c>
    </row>
    <row r="7" spans="1:20" x14ac:dyDescent="0.2">
      <c r="A7" t="s">
        <v>27</v>
      </c>
      <c r="B7">
        <v>2</v>
      </c>
      <c r="C7" t="s">
        <v>42</v>
      </c>
      <c r="D7">
        <v>278</v>
      </c>
      <c r="E7">
        <v>0.9</v>
      </c>
      <c r="F7">
        <v>5.0999999999999996</v>
      </c>
      <c r="G7">
        <v>216.3</v>
      </c>
      <c r="H7" s="1">
        <v>0.2</v>
      </c>
      <c r="I7" s="2">
        <v>3560</v>
      </c>
      <c r="J7">
        <v>85</v>
      </c>
      <c r="K7">
        <v>1.1200000000000001</v>
      </c>
      <c r="L7">
        <v>0</v>
      </c>
      <c r="M7">
        <v>1.58</v>
      </c>
      <c r="N7">
        <v>6.72</v>
      </c>
      <c r="O7">
        <v>303</v>
      </c>
      <c r="P7">
        <v>18.66</v>
      </c>
      <c r="Q7">
        <v>3.15</v>
      </c>
      <c r="R7">
        <v>48.95</v>
      </c>
      <c r="S7">
        <v>174.51</v>
      </c>
      <c r="T7">
        <v>220</v>
      </c>
    </row>
    <row r="8" spans="1:20" x14ac:dyDescent="0.2">
      <c r="A8" t="s">
        <v>28</v>
      </c>
      <c r="B8">
        <v>2</v>
      </c>
      <c r="C8" t="s">
        <v>42</v>
      </c>
      <c r="D8">
        <v>277</v>
      </c>
      <c r="E8">
        <v>0.7</v>
      </c>
      <c r="F8">
        <v>5.3</v>
      </c>
      <c r="G8">
        <v>220.9</v>
      </c>
      <c r="H8" s="1">
        <v>0.18</v>
      </c>
      <c r="I8" s="2">
        <v>3660</v>
      </c>
      <c r="J8">
        <v>85</v>
      </c>
      <c r="K8">
        <v>1.23</v>
      </c>
      <c r="L8">
        <v>0.18</v>
      </c>
      <c r="M8">
        <v>1.6</v>
      </c>
      <c r="N8">
        <v>7.01</v>
      </c>
      <c r="O8">
        <v>308</v>
      </c>
      <c r="P8">
        <v>18.82</v>
      </c>
      <c r="Q8">
        <v>3.41</v>
      </c>
      <c r="R8">
        <v>47.3</v>
      </c>
      <c r="S8">
        <v>167.47</v>
      </c>
      <c r="T8">
        <v>156</v>
      </c>
    </row>
    <row r="9" spans="1:20" x14ac:dyDescent="0.2">
      <c r="A9" t="s">
        <v>29</v>
      </c>
      <c r="B9">
        <v>2</v>
      </c>
      <c r="C9" t="s">
        <v>42</v>
      </c>
      <c r="D9">
        <v>281</v>
      </c>
      <c r="E9">
        <v>0.7</v>
      </c>
      <c r="F9">
        <v>4.7</v>
      </c>
      <c r="G9">
        <v>226.1</v>
      </c>
      <c r="H9" s="1">
        <v>0.18</v>
      </c>
      <c r="I9" s="2">
        <v>3910</v>
      </c>
      <c r="J9">
        <v>100</v>
      </c>
      <c r="K9">
        <v>1.58</v>
      </c>
      <c r="L9">
        <v>1.05</v>
      </c>
      <c r="M9">
        <v>1.67</v>
      </c>
      <c r="N9">
        <v>7.3</v>
      </c>
      <c r="O9">
        <v>321</v>
      </c>
      <c r="P9">
        <v>18.329999999999998</v>
      </c>
      <c r="Q9">
        <v>3.57</v>
      </c>
      <c r="R9">
        <v>44.41</v>
      </c>
      <c r="S9">
        <v>157.63</v>
      </c>
      <c r="T9">
        <v>142</v>
      </c>
    </row>
    <row r="10" spans="1:20" x14ac:dyDescent="0.2">
      <c r="A10" t="s">
        <v>30</v>
      </c>
      <c r="B10">
        <v>3</v>
      </c>
      <c r="C10" t="s">
        <v>44</v>
      </c>
      <c r="D10">
        <v>786</v>
      </c>
      <c r="E10">
        <v>1.3</v>
      </c>
      <c r="F10">
        <v>6.8</v>
      </c>
      <c r="G10">
        <v>559.6</v>
      </c>
      <c r="H10" s="1">
        <v>0.28000000000000003</v>
      </c>
      <c r="I10">
        <v>3530</v>
      </c>
      <c r="J10">
        <v>80</v>
      </c>
      <c r="K10">
        <v>1.36</v>
      </c>
      <c r="L10">
        <v>0.39</v>
      </c>
      <c r="M10">
        <v>1.34</v>
      </c>
      <c r="N10">
        <v>5.7</v>
      </c>
      <c r="O10">
        <v>223</v>
      </c>
      <c r="P10">
        <v>18.670000000000002</v>
      </c>
      <c r="Q10">
        <v>1.2</v>
      </c>
      <c r="R10">
        <v>15.48</v>
      </c>
      <c r="S10">
        <v>25.88</v>
      </c>
      <c r="T10">
        <v>72</v>
      </c>
    </row>
    <row r="11" spans="1:20" x14ac:dyDescent="0.2">
      <c r="A11" t="s">
        <v>31</v>
      </c>
      <c r="B11">
        <v>3</v>
      </c>
      <c r="C11" t="s">
        <v>44</v>
      </c>
      <c r="D11">
        <v>762</v>
      </c>
      <c r="E11">
        <v>1.6</v>
      </c>
      <c r="F11">
        <v>4.5</v>
      </c>
      <c r="G11">
        <v>536.4</v>
      </c>
      <c r="H11" s="1">
        <v>0.28999999999999998</v>
      </c>
      <c r="I11">
        <v>3580</v>
      </c>
      <c r="J11">
        <v>80</v>
      </c>
      <c r="K11">
        <v>1.35</v>
      </c>
      <c r="L11">
        <v>0.21</v>
      </c>
      <c r="M11">
        <v>1.56</v>
      </c>
      <c r="N11">
        <v>5.94</v>
      </c>
      <c r="O11">
        <v>237</v>
      </c>
      <c r="P11">
        <v>29.76</v>
      </c>
      <c r="Q11">
        <v>1.41</v>
      </c>
      <c r="R11">
        <v>15.63</v>
      </c>
      <c r="S11">
        <v>25.79</v>
      </c>
      <c r="T11">
        <v>54</v>
      </c>
    </row>
    <row r="12" spans="1:20" x14ac:dyDescent="0.2">
      <c r="A12" t="s">
        <v>32</v>
      </c>
      <c r="B12">
        <v>3</v>
      </c>
      <c r="C12" t="s">
        <v>44</v>
      </c>
      <c r="D12">
        <v>762</v>
      </c>
      <c r="E12">
        <v>0.9</v>
      </c>
      <c r="F12">
        <v>4.5999999999999996</v>
      </c>
      <c r="G12">
        <v>548.29999999999995</v>
      </c>
      <c r="H12" s="1">
        <v>0.27</v>
      </c>
      <c r="I12">
        <v>3480</v>
      </c>
      <c r="J12">
        <v>80</v>
      </c>
      <c r="K12">
        <v>1.29</v>
      </c>
      <c r="L12">
        <v>0.1</v>
      </c>
      <c r="M12">
        <v>1.43</v>
      </c>
      <c r="N12">
        <v>6.39</v>
      </c>
      <c r="O12">
        <v>247</v>
      </c>
      <c r="P12">
        <v>18.79</v>
      </c>
      <c r="Q12">
        <v>0.93</v>
      </c>
      <c r="R12">
        <v>15.71</v>
      </c>
      <c r="S12">
        <v>30.05</v>
      </c>
      <c r="T12">
        <v>60</v>
      </c>
    </row>
    <row r="13" spans="1:20" x14ac:dyDescent="0.2">
      <c r="A13" t="s">
        <v>33</v>
      </c>
      <c r="B13">
        <v>4</v>
      </c>
      <c r="C13" t="s">
        <v>45</v>
      </c>
      <c r="D13">
        <v>760</v>
      </c>
      <c r="E13">
        <v>1.4</v>
      </c>
      <c r="F13">
        <v>5.0999999999999996</v>
      </c>
      <c r="G13">
        <v>524.79999999999995</v>
      </c>
      <c r="H13" s="1">
        <v>0.3</v>
      </c>
      <c r="I13">
        <v>3690</v>
      </c>
      <c r="J13">
        <v>80</v>
      </c>
      <c r="K13">
        <v>1.41</v>
      </c>
      <c r="L13">
        <v>0.18</v>
      </c>
      <c r="M13">
        <v>1.32</v>
      </c>
      <c r="N13">
        <v>6.49</v>
      </c>
      <c r="O13">
        <v>218</v>
      </c>
      <c r="P13">
        <v>19.690000000000001</v>
      </c>
      <c r="Q13">
        <v>0.97</v>
      </c>
      <c r="R13">
        <v>15.9</v>
      </c>
      <c r="S13">
        <v>17.47</v>
      </c>
      <c r="T13">
        <v>45</v>
      </c>
    </row>
    <row r="14" spans="1:20" x14ac:dyDescent="0.2">
      <c r="A14" t="s">
        <v>34</v>
      </c>
      <c r="B14">
        <v>4</v>
      </c>
      <c r="C14" t="s">
        <v>45</v>
      </c>
      <c r="D14">
        <v>775</v>
      </c>
      <c r="E14">
        <v>1.2</v>
      </c>
      <c r="F14">
        <v>5.3</v>
      </c>
      <c r="G14">
        <v>522.9</v>
      </c>
      <c r="H14" s="1">
        <v>0.32</v>
      </c>
      <c r="I14">
        <v>3650</v>
      </c>
      <c r="J14">
        <v>80</v>
      </c>
      <c r="K14">
        <v>1.1000000000000001</v>
      </c>
      <c r="L14">
        <v>0.02</v>
      </c>
      <c r="M14">
        <v>1.31</v>
      </c>
      <c r="N14">
        <v>6.01</v>
      </c>
      <c r="O14">
        <v>221</v>
      </c>
      <c r="P14">
        <v>19.41</v>
      </c>
      <c r="Q14">
        <v>0.79</v>
      </c>
      <c r="R14">
        <v>15.75</v>
      </c>
      <c r="S14">
        <v>23.31</v>
      </c>
      <c r="T14">
        <v>63</v>
      </c>
    </row>
    <row r="15" spans="1:20" x14ac:dyDescent="0.2">
      <c r="A15" t="s">
        <v>35</v>
      </c>
      <c r="B15">
        <v>4</v>
      </c>
      <c r="C15" t="s">
        <v>45</v>
      </c>
      <c r="D15">
        <v>791</v>
      </c>
      <c r="E15">
        <v>1.3</v>
      </c>
      <c r="F15">
        <v>3.5</v>
      </c>
      <c r="G15">
        <v>529.4</v>
      </c>
      <c r="H15" s="1">
        <v>0.32</v>
      </c>
      <c r="I15">
        <v>3560</v>
      </c>
      <c r="J15">
        <v>80</v>
      </c>
      <c r="K15">
        <v>0.77</v>
      </c>
      <c r="L15">
        <v>-0.03</v>
      </c>
      <c r="M15">
        <v>1.47</v>
      </c>
      <c r="N15">
        <v>6.72</v>
      </c>
      <c r="O15">
        <v>230</v>
      </c>
      <c r="P15">
        <v>18.899999999999999</v>
      </c>
      <c r="Q15">
        <v>3.08</v>
      </c>
      <c r="R15">
        <v>14.82</v>
      </c>
      <c r="S15">
        <v>19.59</v>
      </c>
      <c r="T15">
        <v>46</v>
      </c>
    </row>
    <row r="16" spans="1:20" x14ac:dyDescent="0.2">
      <c r="I16" s="2"/>
    </row>
    <row r="17" spans="9:9" x14ac:dyDescent="0.2">
      <c r="I17" s="2"/>
    </row>
    <row r="18" spans="9:9" x14ac:dyDescent="0.2">
      <c r="I18" s="2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CAE81A-D763-844E-9B78-DADD39A924BD}">
  <dimension ref="A1:N13"/>
  <sheetViews>
    <sheetView tabSelected="1" workbookViewId="0">
      <selection activeCell="B18" sqref="B18"/>
    </sheetView>
  </sheetViews>
  <sheetFormatPr baseColWidth="10" defaultRowHeight="16" x14ac:dyDescent="0.2"/>
  <cols>
    <col min="5" max="5" width="10" customWidth="1"/>
  </cols>
  <sheetData>
    <row r="1" spans="1:14" x14ac:dyDescent="0.2">
      <c r="A1" t="s">
        <v>4</v>
      </c>
      <c r="B1" t="s">
        <v>6</v>
      </c>
      <c r="C1" t="s">
        <v>14</v>
      </c>
      <c r="D1" t="s">
        <v>15</v>
      </c>
      <c r="E1" t="s">
        <v>41</v>
      </c>
      <c r="F1" t="s">
        <v>16</v>
      </c>
      <c r="G1" t="s">
        <v>17</v>
      </c>
      <c r="H1" t="s">
        <v>18</v>
      </c>
      <c r="I1" t="s">
        <v>19</v>
      </c>
      <c r="J1" t="s">
        <v>20</v>
      </c>
      <c r="K1" t="s">
        <v>21</v>
      </c>
      <c r="L1" t="s">
        <v>22</v>
      </c>
      <c r="M1" t="s">
        <v>23</v>
      </c>
      <c r="N1" t="s">
        <v>40</v>
      </c>
    </row>
    <row r="2" spans="1:14" x14ac:dyDescent="0.2">
      <c r="A2" t="s">
        <v>24</v>
      </c>
      <c r="B2" t="s">
        <v>43</v>
      </c>
      <c r="C2">
        <v>1.3</v>
      </c>
      <c r="D2">
        <v>0.05</v>
      </c>
      <c r="E2">
        <f>(D2-4.75+0.55)/-0.237</f>
        <v>17.510548523206754</v>
      </c>
      <c r="F2">
        <v>2.42</v>
      </c>
      <c r="G2">
        <v>11.99</v>
      </c>
      <c r="H2">
        <v>468</v>
      </c>
      <c r="I2">
        <v>17.21</v>
      </c>
      <c r="J2">
        <v>9.0500000000000007</v>
      </c>
      <c r="K2">
        <v>175.66</v>
      </c>
      <c r="L2">
        <v>556.80999999999995</v>
      </c>
      <c r="M2">
        <v>514</v>
      </c>
      <c r="N2">
        <v>1312</v>
      </c>
    </row>
    <row r="3" spans="1:14" x14ac:dyDescent="0.2">
      <c r="A3" t="s">
        <v>25</v>
      </c>
      <c r="B3" t="s">
        <v>43</v>
      </c>
      <c r="C3">
        <v>1.54</v>
      </c>
      <c r="D3">
        <v>-0.03</v>
      </c>
      <c r="E3">
        <f t="shared" ref="E3:E13" si="0">(D3-4.75+0.55)/-0.237</f>
        <v>17.848101265822788</v>
      </c>
      <c r="F3">
        <v>2.2999999999999998</v>
      </c>
      <c r="G3">
        <v>12.85</v>
      </c>
      <c r="H3">
        <v>448</v>
      </c>
      <c r="I3">
        <v>17.48</v>
      </c>
      <c r="J3">
        <v>8.17</v>
      </c>
      <c r="K3">
        <v>174.43</v>
      </c>
      <c r="L3">
        <v>588.75</v>
      </c>
      <c r="M3">
        <v>627</v>
      </c>
      <c r="N3">
        <v>1312</v>
      </c>
    </row>
    <row r="4" spans="1:14" x14ac:dyDescent="0.2">
      <c r="A4" t="s">
        <v>26</v>
      </c>
      <c r="B4" t="s">
        <v>43</v>
      </c>
      <c r="C4">
        <v>1.45</v>
      </c>
      <c r="D4">
        <v>-0.04</v>
      </c>
      <c r="E4">
        <f t="shared" si="0"/>
        <v>17.890295358649791</v>
      </c>
      <c r="F4">
        <v>2.35</v>
      </c>
      <c r="G4">
        <v>12.42</v>
      </c>
      <c r="H4">
        <v>449</v>
      </c>
      <c r="I4">
        <v>17.329999999999998</v>
      </c>
      <c r="J4">
        <v>9.02</v>
      </c>
      <c r="K4">
        <v>165.64</v>
      </c>
      <c r="L4">
        <v>521.82000000000005</v>
      </c>
      <c r="M4">
        <v>549</v>
      </c>
      <c r="N4">
        <v>1312</v>
      </c>
    </row>
    <row r="5" spans="1:14" x14ac:dyDescent="0.2">
      <c r="A5" t="s">
        <v>27</v>
      </c>
      <c r="B5" t="s">
        <v>42</v>
      </c>
      <c r="C5">
        <v>1.1200000000000001</v>
      </c>
      <c r="D5">
        <v>0</v>
      </c>
      <c r="E5">
        <f t="shared" si="0"/>
        <v>17.721518987341774</v>
      </c>
      <c r="F5">
        <v>1.58</v>
      </c>
      <c r="G5">
        <v>6.72</v>
      </c>
      <c r="H5">
        <v>303</v>
      </c>
      <c r="I5">
        <v>18.66</v>
      </c>
      <c r="J5">
        <v>3.15</v>
      </c>
      <c r="K5">
        <v>48.95</v>
      </c>
      <c r="L5">
        <v>174.51</v>
      </c>
      <c r="M5">
        <v>220</v>
      </c>
      <c r="N5">
        <v>1312</v>
      </c>
    </row>
    <row r="6" spans="1:14" x14ac:dyDescent="0.2">
      <c r="A6" t="s">
        <v>28</v>
      </c>
      <c r="B6" t="s">
        <v>42</v>
      </c>
      <c r="C6">
        <v>1.23</v>
      </c>
      <c r="D6">
        <v>0.18</v>
      </c>
      <c r="E6">
        <f t="shared" si="0"/>
        <v>16.962025316455698</v>
      </c>
      <c r="F6">
        <v>1.6</v>
      </c>
      <c r="G6">
        <v>7.01</v>
      </c>
      <c r="H6">
        <v>308</v>
      </c>
      <c r="I6">
        <v>18.82</v>
      </c>
      <c r="J6">
        <v>3.41</v>
      </c>
      <c r="K6">
        <v>47.3</v>
      </c>
      <c r="L6">
        <v>167.47</v>
      </c>
      <c r="M6">
        <v>156</v>
      </c>
      <c r="N6">
        <v>1312</v>
      </c>
    </row>
    <row r="7" spans="1:14" x14ac:dyDescent="0.2">
      <c r="A7" t="s">
        <v>29</v>
      </c>
      <c r="B7" t="s">
        <v>42</v>
      </c>
      <c r="C7">
        <v>1.58</v>
      </c>
      <c r="D7">
        <v>1.05</v>
      </c>
      <c r="E7">
        <f t="shared" si="0"/>
        <v>13.291139240506331</v>
      </c>
      <c r="F7">
        <v>1.67</v>
      </c>
      <c r="G7">
        <v>7.3</v>
      </c>
      <c r="H7">
        <v>321</v>
      </c>
      <c r="I7">
        <v>18.329999999999998</v>
      </c>
      <c r="J7">
        <v>3.57</v>
      </c>
      <c r="K7">
        <v>44.41</v>
      </c>
      <c r="L7">
        <v>157.63</v>
      </c>
      <c r="M7">
        <v>142</v>
      </c>
      <c r="N7">
        <v>1312</v>
      </c>
    </row>
    <row r="8" spans="1:14" x14ac:dyDescent="0.2">
      <c r="A8" t="s">
        <v>30</v>
      </c>
      <c r="B8" t="s">
        <v>44</v>
      </c>
      <c r="C8">
        <v>1.36</v>
      </c>
      <c r="D8">
        <v>0.39</v>
      </c>
      <c r="E8">
        <f t="shared" si="0"/>
        <v>16.075949367088612</v>
      </c>
      <c r="F8">
        <v>1.34</v>
      </c>
      <c r="G8">
        <v>5.7</v>
      </c>
      <c r="H8">
        <v>223</v>
      </c>
      <c r="I8">
        <v>18.670000000000002</v>
      </c>
      <c r="J8">
        <v>1.2</v>
      </c>
      <c r="K8">
        <v>15.48</v>
      </c>
      <c r="L8">
        <v>25.88</v>
      </c>
      <c r="M8">
        <v>72</v>
      </c>
      <c r="N8">
        <v>1312</v>
      </c>
    </row>
    <row r="9" spans="1:14" x14ac:dyDescent="0.2">
      <c r="A9" t="s">
        <v>31</v>
      </c>
      <c r="B9" t="s">
        <v>44</v>
      </c>
      <c r="C9">
        <v>1.35</v>
      </c>
      <c r="D9">
        <v>0.21</v>
      </c>
      <c r="E9">
        <f t="shared" si="0"/>
        <v>16.835443037974684</v>
      </c>
      <c r="F9">
        <v>1.56</v>
      </c>
      <c r="G9">
        <v>5.94</v>
      </c>
      <c r="H9">
        <v>237</v>
      </c>
      <c r="I9">
        <v>29.76</v>
      </c>
      <c r="J9">
        <v>1.41</v>
      </c>
      <c r="K9">
        <v>15.63</v>
      </c>
      <c r="L9">
        <v>25.79</v>
      </c>
      <c r="M9">
        <v>54</v>
      </c>
      <c r="N9">
        <v>1312</v>
      </c>
    </row>
    <row r="10" spans="1:14" x14ac:dyDescent="0.2">
      <c r="A10" t="s">
        <v>32</v>
      </c>
      <c r="B10" t="s">
        <v>44</v>
      </c>
      <c r="C10">
        <v>1.29</v>
      </c>
      <c r="D10">
        <v>0.1</v>
      </c>
      <c r="E10">
        <f t="shared" si="0"/>
        <v>17.299578059071735</v>
      </c>
      <c r="F10">
        <v>1.43</v>
      </c>
      <c r="G10">
        <v>6.39</v>
      </c>
      <c r="H10">
        <v>247</v>
      </c>
      <c r="I10">
        <v>18.79</v>
      </c>
      <c r="J10">
        <v>0.93</v>
      </c>
      <c r="K10">
        <v>15.71</v>
      </c>
      <c r="L10">
        <v>30.05</v>
      </c>
      <c r="M10">
        <v>60</v>
      </c>
      <c r="N10">
        <v>1312</v>
      </c>
    </row>
    <row r="11" spans="1:14" x14ac:dyDescent="0.2">
      <c r="A11" t="s">
        <v>33</v>
      </c>
      <c r="B11" t="s">
        <v>45</v>
      </c>
      <c r="C11">
        <v>1.41</v>
      </c>
      <c r="D11">
        <v>0.18</v>
      </c>
      <c r="E11">
        <f t="shared" si="0"/>
        <v>16.962025316455698</v>
      </c>
      <c r="F11">
        <v>1.32</v>
      </c>
      <c r="G11">
        <v>6.49</v>
      </c>
      <c r="H11">
        <v>218</v>
      </c>
      <c r="I11">
        <v>19.690000000000001</v>
      </c>
      <c r="J11">
        <v>0.97</v>
      </c>
      <c r="K11">
        <v>15.9</v>
      </c>
      <c r="L11">
        <v>17.47</v>
      </c>
      <c r="M11">
        <v>45</v>
      </c>
      <c r="N11">
        <v>1312</v>
      </c>
    </row>
    <row r="12" spans="1:14" x14ac:dyDescent="0.2">
      <c r="A12" t="s">
        <v>34</v>
      </c>
      <c r="B12" t="s">
        <v>45</v>
      </c>
      <c r="C12">
        <v>1.1000000000000001</v>
      </c>
      <c r="D12">
        <v>0.02</v>
      </c>
      <c r="E12">
        <f t="shared" si="0"/>
        <v>17.637130801687768</v>
      </c>
      <c r="F12">
        <v>1.31</v>
      </c>
      <c r="G12">
        <v>6.01</v>
      </c>
      <c r="H12">
        <v>221</v>
      </c>
      <c r="I12">
        <v>19.41</v>
      </c>
      <c r="J12">
        <v>0.79</v>
      </c>
      <c r="K12">
        <v>15.75</v>
      </c>
      <c r="L12">
        <v>23.31</v>
      </c>
      <c r="M12">
        <v>63</v>
      </c>
      <c r="N12">
        <v>1312</v>
      </c>
    </row>
    <row r="13" spans="1:14" x14ac:dyDescent="0.2">
      <c r="A13" t="s">
        <v>35</v>
      </c>
      <c r="B13" t="s">
        <v>45</v>
      </c>
      <c r="C13">
        <v>0.77</v>
      </c>
      <c r="D13">
        <v>-0.03</v>
      </c>
      <c r="E13">
        <f t="shared" si="0"/>
        <v>17.848101265822788</v>
      </c>
      <c r="F13">
        <v>1.47</v>
      </c>
      <c r="G13">
        <v>6.72</v>
      </c>
      <c r="H13">
        <v>230</v>
      </c>
      <c r="I13">
        <v>18.899999999999999</v>
      </c>
      <c r="J13">
        <v>3.08</v>
      </c>
      <c r="K13">
        <v>14.82</v>
      </c>
      <c r="L13">
        <v>19.59</v>
      </c>
      <c r="M13">
        <v>46</v>
      </c>
      <c r="N13">
        <v>1312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3F18C3-3C43-694E-A12B-C47F1A36114C}">
  <dimension ref="A1:A5"/>
  <sheetViews>
    <sheetView workbookViewId="0">
      <selection activeCell="B15" sqref="B15"/>
    </sheetView>
  </sheetViews>
  <sheetFormatPr baseColWidth="10" defaultRowHeight="16" x14ac:dyDescent="0.2"/>
  <sheetData>
    <row r="1" spans="1:1" x14ac:dyDescent="0.2">
      <c r="A1" t="s">
        <v>36</v>
      </c>
    </row>
    <row r="2" spans="1:1" x14ac:dyDescent="0.2">
      <c r="A2" t="s">
        <v>37</v>
      </c>
    </row>
    <row r="3" spans="1:1" x14ac:dyDescent="0.2">
      <c r="A3" t="s">
        <v>38</v>
      </c>
    </row>
    <row r="5" spans="1:1" x14ac:dyDescent="0.2">
      <c r="A5" t="s">
        <v>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OCE205-2-60BC_all+data(all+data</vt:lpstr>
      <vt:lpstr>tempworkup</vt:lpstr>
      <vt:lpstr>equations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cshepp</cp:lastModifiedBy>
  <dcterms:created xsi:type="dcterms:W3CDTF">2025-10-08T19:36:13Z</dcterms:created>
  <dcterms:modified xsi:type="dcterms:W3CDTF">2025-11-18T22:24:55Z</dcterms:modified>
</cp:coreProperties>
</file>
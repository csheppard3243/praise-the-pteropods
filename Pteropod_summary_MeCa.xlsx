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1A0DC08F-3781-6540-9987-2344CBEBC6F3}" xr6:coauthVersionLast="47" xr6:coauthVersionMax="47" xr10:uidLastSave="{00000000-0000-0000-0000-000000000000}"/>
  <bookViews>
    <workbookView xWindow="60" yWindow="1480" windowWidth="28700" windowHeight="16440" activeTab="2" xr2:uid="{8C9521DA-CBBE-964C-8613-3A9834640F7F}"/>
  </bookViews>
  <sheets>
    <sheet name="Summary" sheetId="1" r:id="rId1"/>
    <sheet name="Water Column Batch Analysis" sheetId="2" r:id="rId2"/>
    <sheet name="water column excluding nans" sheetId="4" r:id="rId3"/>
    <sheet name="ODV data" sheetId="5" r:id="rId4"/>
    <sheet name="ODV Water Column" sheetId="6" r:id="rId5"/>
    <sheet name="ODV Water Column 1" sheetId="9" r:id="rId6"/>
    <sheet name="ODV Sediments" sheetId="7" r:id="rId7"/>
    <sheet name="ODV Sergent" sheetId="8" r:id="rId8"/>
    <sheet name="aragonite workup" sheetId="10" r:id="rId9"/>
    <sheet name="Sheet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1" l="1"/>
  <c r="N6" i="10"/>
  <c r="M6" i="10"/>
  <c r="L8" i="10"/>
  <c r="K6" i="10"/>
  <c r="V30" i="1"/>
  <c r="W30" i="1"/>
  <c r="X30" i="1"/>
  <c r="Y30" i="1"/>
  <c r="Z30" i="1"/>
  <c r="AA30" i="1"/>
  <c r="AB30" i="1"/>
  <c r="U30" i="1"/>
  <c r="L10" i="10"/>
  <c r="M10" i="10"/>
  <c r="O10" i="10"/>
  <c r="P10" i="10"/>
  <c r="Q10" i="10"/>
  <c r="R10" i="10"/>
  <c r="K10" i="10"/>
  <c r="E10" i="10"/>
  <c r="F10" i="10"/>
  <c r="G10" i="10"/>
  <c r="H10" i="10"/>
  <c r="I10" i="10"/>
  <c r="D10" i="10"/>
  <c r="M5" i="10"/>
  <c r="O8" i="10"/>
  <c r="P8" i="10"/>
  <c r="Q8" i="10"/>
  <c r="R8" i="10"/>
  <c r="E8" i="10"/>
  <c r="F8" i="10"/>
  <c r="G8" i="10"/>
  <c r="H8" i="10"/>
  <c r="I8" i="10"/>
  <c r="D8" i="10"/>
  <c r="O6" i="10"/>
  <c r="P6" i="10"/>
  <c r="Q6" i="10"/>
  <c r="R6" i="10"/>
  <c r="F6" i="10"/>
  <c r="E6" i="10"/>
  <c r="G6" i="10"/>
  <c r="H6" i="10"/>
  <c r="I6" i="10"/>
  <c r="D6" i="10"/>
  <c r="L9" i="7"/>
  <c r="K9" i="7"/>
  <c r="M6" i="7"/>
  <c r="L5" i="7"/>
  <c r="K5" i="7"/>
  <c r="M3" i="7"/>
  <c r="L2" i="7"/>
  <c r="K2" i="7"/>
  <c r="P11" i="4"/>
  <c r="P13" i="4"/>
  <c r="P18" i="4"/>
  <c r="P19" i="4"/>
  <c r="P17" i="4"/>
  <c r="P9" i="4"/>
  <c r="S14" i="2"/>
  <c r="S16" i="2"/>
  <c r="S21" i="2"/>
  <c r="S22" i="2"/>
  <c r="S20" i="2"/>
  <c r="S11" i="2"/>
  <c r="S12" i="2"/>
  <c r="S39" i="2"/>
  <c r="S10" i="2"/>
  <c r="S24" i="2"/>
  <c r="S25" i="2"/>
  <c r="S8" i="2"/>
  <c r="S15" i="2"/>
  <c r="S19" i="2"/>
  <c r="S7" i="2"/>
  <c r="S18" i="2"/>
  <c r="K8" i="10" l="1"/>
  <c r="L6" i="10"/>
  <c r="M8" i="10"/>
  <c r="M10" i="7"/>
</calcChain>
</file>

<file path=xl/sharedStrings.xml><?xml version="1.0" encoding="utf-8"?>
<sst xmlns="http://schemas.openxmlformats.org/spreadsheetml/2006/main" count="730" uniqueCount="203">
  <si>
    <t>12-4</t>
  </si>
  <si>
    <t>4-1</t>
  </si>
  <si>
    <t>11-5</t>
  </si>
  <si>
    <t>10-2</t>
  </si>
  <si>
    <t>3-1</t>
  </si>
  <si>
    <t>9-2</t>
  </si>
  <si>
    <t>6-6</t>
  </si>
  <si>
    <t>13-4</t>
  </si>
  <si>
    <t>11-1</t>
  </si>
  <si>
    <t>250409_MK01_006</t>
  </si>
  <si>
    <t>250409_MK02_007</t>
  </si>
  <si>
    <t>250409_MK03_008</t>
  </si>
  <si>
    <t>250409_MK04_009</t>
  </si>
  <si>
    <t>250409_MK05_010</t>
  </si>
  <si>
    <t>250409_MK06_014</t>
  </si>
  <si>
    <t>250409_MK07_015</t>
  </si>
  <si>
    <t>250409_MK08_016</t>
  </si>
  <si>
    <t>250409_MK09_017</t>
  </si>
  <si>
    <t>250409_MK10_018</t>
  </si>
  <si>
    <t>250409_MK11_021</t>
  </si>
  <si>
    <t>250409_MK12_022</t>
  </si>
  <si>
    <t>250409_MK13_023</t>
  </si>
  <si>
    <t>250409_MK14_024</t>
  </si>
  <si>
    <t>ID</t>
  </si>
  <si>
    <t>Sr/Ca [mmol/mol]</t>
  </si>
  <si>
    <t>Ba/Ca [umol/mol]</t>
  </si>
  <si>
    <t>U/Ca [nmol/mol]</t>
  </si>
  <si>
    <t>Na_Ca [mmol/mol]</t>
  </si>
  <si>
    <t>Mg_Ca [mmol/mol]</t>
  </si>
  <si>
    <t>Mn_Ca [umol/mol]</t>
  </si>
  <si>
    <t>Fe_Ca [umol/mol]</t>
  </si>
  <si>
    <t>Al_Ca [umol/mol]</t>
  </si>
  <si>
    <t>Type</t>
  </si>
  <si>
    <t>Sed Trap</t>
  </si>
  <si>
    <t>250409_MC47_006</t>
  </si>
  <si>
    <t>A1</t>
  </si>
  <si>
    <t>250409_MC48_007</t>
  </si>
  <si>
    <t>A2</t>
  </si>
  <si>
    <t>250409_MK49_008</t>
  </si>
  <si>
    <t>A3</t>
  </si>
  <si>
    <t>250409_MK50_009</t>
  </si>
  <si>
    <t>B1</t>
  </si>
  <si>
    <t>250409_MK51_010</t>
  </si>
  <si>
    <t>B2</t>
  </si>
  <si>
    <t>250409_MK52_014</t>
  </si>
  <si>
    <t>B3</t>
  </si>
  <si>
    <t>250409_MK53_015</t>
  </si>
  <si>
    <t>C1</t>
  </si>
  <si>
    <t>250409_MK54_016</t>
  </si>
  <si>
    <t>C2</t>
  </si>
  <si>
    <t>250409_MK55_017</t>
  </si>
  <si>
    <t>C3</t>
  </si>
  <si>
    <t>250409_MK56_018</t>
  </si>
  <si>
    <t>D1</t>
  </si>
  <si>
    <t>250409_MK57_021</t>
  </si>
  <si>
    <t>D2</t>
  </si>
  <si>
    <t>250409_MK58_022</t>
  </si>
  <si>
    <t>D3</t>
  </si>
  <si>
    <t>Sediment</t>
  </si>
  <si>
    <t>Label</t>
  </si>
  <si>
    <t>Cleaning</t>
  </si>
  <si>
    <t>no clean</t>
  </si>
  <si>
    <t>sonic only</t>
  </si>
  <si>
    <t>sonic+red</t>
  </si>
  <si>
    <t>250515_MC_36</t>
  </si>
  <si>
    <t>250515_MC015</t>
  </si>
  <si>
    <t>250515_MC_16</t>
  </si>
  <si>
    <t>250515_MC_18</t>
  </si>
  <si>
    <t>250515_MC_19</t>
  </si>
  <si>
    <t>250515_MC_20</t>
  </si>
  <si>
    <t>250515_MC_21</t>
  </si>
  <si>
    <t>250515_MC_22</t>
  </si>
  <si>
    <t>250515_MC_23</t>
  </si>
  <si>
    <t>250515_MC_24</t>
  </si>
  <si>
    <t>250515_MC_26</t>
  </si>
  <si>
    <t>250515_MC_27</t>
  </si>
  <si>
    <t>250515_MC_30</t>
  </si>
  <si>
    <t>250515_MC_31</t>
  </si>
  <si>
    <t>250515_MC_32</t>
  </si>
  <si>
    <t>250515_MC_33</t>
  </si>
  <si>
    <t>250515_MC_35</t>
  </si>
  <si>
    <t>250515_MC_38</t>
  </si>
  <si>
    <t>250515_MC_39</t>
  </si>
  <si>
    <t>250515_MC_40</t>
  </si>
  <si>
    <t>250515_MC_41</t>
  </si>
  <si>
    <t>250515_MC_42</t>
  </si>
  <si>
    <t>250515_MC_43</t>
  </si>
  <si>
    <t>250515_MC_44</t>
  </si>
  <si>
    <t>250515_MC_45</t>
  </si>
  <si>
    <t>12-3</t>
  </si>
  <si>
    <t>12-6</t>
  </si>
  <si>
    <t>12-7</t>
  </si>
  <si>
    <t>4-4</t>
  </si>
  <si>
    <t>6-8</t>
  </si>
  <si>
    <t>4-5</t>
  </si>
  <si>
    <t>11-3</t>
  </si>
  <si>
    <t>11-4</t>
  </si>
  <si>
    <t>13-3</t>
  </si>
  <si>
    <t>12-1</t>
  </si>
  <si>
    <t>12-2</t>
  </si>
  <si>
    <t>6-7</t>
  </si>
  <si>
    <t>6-5</t>
  </si>
  <si>
    <t>6-9</t>
  </si>
  <si>
    <t>4-6</t>
  </si>
  <si>
    <t>13-6</t>
  </si>
  <si>
    <t>13-5</t>
  </si>
  <si>
    <t>11-9</t>
  </si>
  <si>
    <t>7-5</t>
  </si>
  <si>
    <t>7-10</t>
  </si>
  <si>
    <t>7-8</t>
  </si>
  <si>
    <t>7-7</t>
  </si>
  <si>
    <t>6-15</t>
  </si>
  <si>
    <t>6-14</t>
  </si>
  <si>
    <t>6-11</t>
  </si>
  <si>
    <t>Batch</t>
  </si>
  <si>
    <t>7-1</t>
  </si>
  <si>
    <t>6-3</t>
  </si>
  <si>
    <t>7-4</t>
  </si>
  <si>
    <t>6-12</t>
  </si>
  <si>
    <t>6-4</t>
  </si>
  <si>
    <t>na</t>
  </si>
  <si>
    <t>nan</t>
  </si>
  <si>
    <t>Number of shells</t>
  </si>
  <si>
    <t>very small</t>
  </si>
  <si>
    <t>Notes</t>
  </si>
  <si>
    <t>some very small</t>
  </si>
  <si>
    <t>sonic++red+ox</t>
  </si>
  <si>
    <t>LDX</t>
  </si>
  <si>
    <t>p</t>
  </si>
  <si>
    <t>1,1,1,1</t>
  </si>
  <si>
    <t>0,1,1,1</t>
  </si>
  <si>
    <t>3,3,2,3,5,4,4</t>
  </si>
  <si>
    <t>5,5,5,5,4,1,1,2,4</t>
  </si>
  <si>
    <t>1,1,1,1,1</t>
  </si>
  <si>
    <t>1,1</t>
  </si>
  <si>
    <t>5,5,4,4,3,3,3</t>
  </si>
  <si>
    <t>3,1,3,4,4,3,3,3</t>
  </si>
  <si>
    <t>3,2,2</t>
  </si>
  <si>
    <t>1,1,1,1,1,1</t>
  </si>
  <si>
    <t>3,1,1</t>
  </si>
  <si>
    <t>1,1,1,1,1,1,1,1,1,1</t>
  </si>
  <si>
    <t>1,1,1,1,1,1,1,1</t>
  </si>
  <si>
    <t>1,1,1,1,2,2</t>
  </si>
  <si>
    <t>1,1,1,1,2,2,2,2,2,2</t>
  </si>
  <si>
    <t>5,1,1,1,2,2,2,2,2,2,2,2,2,2</t>
  </si>
  <si>
    <t>2,1,1,1,1,1,2,2,3,2,2,2,2,1</t>
  </si>
  <si>
    <t>1,1,1,1,1,1,1,1,1,1,1,1,1</t>
  </si>
  <si>
    <t>1,1,1,1,1,2,2,4,5,2,2,3,1,1,3,1,2,2,4</t>
  </si>
  <si>
    <t>2,2,2,2,2,1,1,1,3,3,3,3,3,3,3,3,3,3,3,3,3,3,3,3,3,3,3,3</t>
  </si>
  <si>
    <t>2,2,2,2,2,2,2,2,2,2,2,2,2,2,2,2,2,2,2,2,2,2</t>
  </si>
  <si>
    <t>cup</t>
  </si>
  <si>
    <t>pteropod type</t>
  </si>
  <si>
    <t>lat</t>
  </si>
  <si>
    <t>lon</t>
  </si>
  <si>
    <t>depth</t>
  </si>
  <si>
    <t>year</t>
  </si>
  <si>
    <t>DATA</t>
  </si>
  <si>
    <t>ODV</t>
  </si>
  <si>
    <t>sedimentary</t>
  </si>
  <si>
    <t>water column</t>
  </si>
  <si>
    <t>omega c</t>
  </si>
  <si>
    <t xml:space="preserve">sergent </t>
  </si>
  <si>
    <t xml:space="preserve">lat </t>
  </si>
  <si>
    <t>OmegaA</t>
  </si>
  <si>
    <t>depth (m)</t>
  </si>
  <si>
    <t>month</t>
  </si>
  <si>
    <t>day</t>
  </si>
  <si>
    <t>temp</t>
  </si>
  <si>
    <t>sal</t>
  </si>
  <si>
    <t>aragonite saturation</t>
  </si>
  <si>
    <t>at collection depth</t>
  </si>
  <si>
    <t>at thermocline</t>
  </si>
  <si>
    <t xml:space="preserve">collection depth </t>
  </si>
  <si>
    <t>thermocline</t>
  </si>
  <si>
    <t>salinity</t>
  </si>
  <si>
    <t xml:space="preserve">sedimentary </t>
  </si>
  <si>
    <t>slope</t>
  </si>
  <si>
    <t>y-int</t>
  </si>
  <si>
    <t xml:space="preserve">at 80 m </t>
  </si>
  <si>
    <t>aragonite</t>
  </si>
  <si>
    <t>W/SED</t>
  </si>
  <si>
    <t>Me/Ca averages</t>
  </si>
  <si>
    <t>SED/SER</t>
  </si>
  <si>
    <t>W/SER</t>
  </si>
  <si>
    <t>aragonite saturation at collection depth</t>
  </si>
  <si>
    <t>aragonite saturation at thermocline</t>
  </si>
  <si>
    <t>temp at collection depth</t>
  </si>
  <si>
    <t>temp at thermocline</t>
  </si>
  <si>
    <t>salinity at collection depth</t>
  </si>
  <si>
    <t>salinity at thermocline</t>
  </si>
  <si>
    <t>date</t>
  </si>
  <si>
    <t>number</t>
  </si>
  <si>
    <t xml:space="preserve">number </t>
  </si>
  <si>
    <t>3</t>
  </si>
  <si>
    <t>4</t>
  </si>
  <si>
    <t>6</t>
  </si>
  <si>
    <t>7</t>
  </si>
  <si>
    <t>9</t>
  </si>
  <si>
    <t>10</t>
  </si>
  <si>
    <t>11</t>
  </si>
  <si>
    <t>12</t>
  </si>
  <si>
    <t>13</t>
  </si>
  <si>
    <r>
      <t>1</t>
    </r>
    <r>
      <rPr>
        <sz val="12"/>
        <color theme="1"/>
        <rFont val="3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</si>
</sst>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4" fontId="0" fillId="0" borderId="0" xfId="0" applyNumberFormat="1"/>
    <xf numFmtId="14" fontId="1" fillId="0" borderId="0" xfId="1" applyNumberForma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03BFCCDC-10EA-FC40-A0E1-F97D3DB11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D348-F208-774D-8E83-1DF297E35079}">
  <dimension ref="A1:AB88"/>
  <sheetViews>
    <sheetView topLeftCell="G1" zoomScale="75" workbookViewId="0">
      <selection activeCell="Q39" sqref="Q39"/>
    </sheetView>
  </sheetViews>
  <sheetFormatPr baseColWidth="10" defaultRowHeight="16"/>
  <sheetData>
    <row r="1" spans="1:28">
      <c r="A1" t="s">
        <v>32</v>
      </c>
      <c r="B1" t="s">
        <v>23</v>
      </c>
      <c r="C1" t="s">
        <v>59</v>
      </c>
      <c r="D1" t="s">
        <v>127</v>
      </c>
      <c r="E1" t="s">
        <v>60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191</v>
      </c>
    </row>
    <row r="2" spans="1:28">
      <c r="A2" t="s">
        <v>33</v>
      </c>
      <c r="B2" t="s">
        <v>9</v>
      </c>
      <c r="C2" s="1" t="s">
        <v>115</v>
      </c>
      <c r="D2" s="1"/>
      <c r="E2" s="1" t="s">
        <v>120</v>
      </c>
      <c r="F2">
        <v>0.80933442637431929</v>
      </c>
      <c r="G2">
        <v>8.5803896552124019</v>
      </c>
      <c r="H2">
        <v>349.33938408922165</v>
      </c>
      <c r="I2">
        <v>27.134223195237617</v>
      </c>
      <c r="J2">
        <v>0.96107202444760198</v>
      </c>
      <c r="K2">
        <v>24.006529318345894</v>
      </c>
      <c r="L2">
        <v>23.481281407349556</v>
      </c>
      <c r="M2">
        <v>37.824234563318797</v>
      </c>
      <c r="N2">
        <v>5</v>
      </c>
    </row>
    <row r="3" spans="1:28">
      <c r="A3" t="s">
        <v>33</v>
      </c>
      <c r="B3" t="s">
        <v>10</v>
      </c>
      <c r="C3" s="1" t="s">
        <v>116</v>
      </c>
      <c r="D3" s="1"/>
      <c r="E3" s="1" t="s">
        <v>120</v>
      </c>
      <c r="F3">
        <v>0.80580079156721263</v>
      </c>
      <c r="G3">
        <v>10.874727826601507</v>
      </c>
      <c r="H3">
        <v>38.925032797494872</v>
      </c>
      <c r="I3">
        <v>37.09827270225238</v>
      </c>
      <c r="J3">
        <v>0.27591285814979949</v>
      </c>
      <c r="K3">
        <v>18.322747332495339</v>
      </c>
      <c r="L3">
        <v>44.210126018127731</v>
      </c>
      <c r="M3">
        <v>86.44551374776627</v>
      </c>
      <c r="N3">
        <v>5</v>
      </c>
    </row>
    <row r="4" spans="1:28">
      <c r="A4" t="s">
        <v>33</v>
      </c>
      <c r="B4" t="s">
        <v>11</v>
      </c>
      <c r="C4" s="2" t="s">
        <v>117</v>
      </c>
      <c r="D4" s="2"/>
      <c r="E4" s="1" t="s">
        <v>120</v>
      </c>
      <c r="F4">
        <v>0.78902058669226527</v>
      </c>
      <c r="G4">
        <v>21.85266026837348</v>
      </c>
      <c r="H4">
        <v>486.48239756691532</v>
      </c>
      <c r="I4">
        <v>42.10435597115773</v>
      </c>
      <c r="J4">
        <v>1.0102772948184799</v>
      </c>
      <c r="K4">
        <v>28.939842343182082</v>
      </c>
      <c r="L4">
        <v>199.02388947971676</v>
      </c>
      <c r="M4">
        <v>192.53405332023902</v>
      </c>
      <c r="N4">
        <v>5</v>
      </c>
    </row>
    <row r="5" spans="1:28">
      <c r="A5" t="s">
        <v>33</v>
      </c>
      <c r="B5" t="s">
        <v>12</v>
      </c>
      <c r="C5" s="2" t="s">
        <v>118</v>
      </c>
      <c r="D5" s="2"/>
      <c r="E5" s="1" t="s">
        <v>120</v>
      </c>
      <c r="F5">
        <v>0.87932182745812371</v>
      </c>
      <c r="G5">
        <v>15.618258396167157</v>
      </c>
      <c r="H5">
        <v>64.022076659602547</v>
      </c>
      <c r="I5">
        <v>37.024975322509512</v>
      </c>
      <c r="J5">
        <v>0.2696689918686821</v>
      </c>
      <c r="K5">
        <v>17.070944140937719</v>
      </c>
      <c r="L5">
        <v>41.704638382757388</v>
      </c>
      <c r="M5">
        <v>47.584717245536574</v>
      </c>
      <c r="N5">
        <v>5</v>
      </c>
    </row>
    <row r="6" spans="1:28">
      <c r="A6" t="s">
        <v>33</v>
      </c>
      <c r="B6" t="s">
        <v>13</v>
      </c>
      <c r="C6" s="2" t="s">
        <v>119</v>
      </c>
      <c r="D6" s="2"/>
      <c r="E6" s="1" t="s">
        <v>120</v>
      </c>
      <c r="F6">
        <v>0.84973561934755426</v>
      </c>
      <c r="G6">
        <v>10.471283552733373</v>
      </c>
      <c r="H6">
        <v>45.514254168321237</v>
      </c>
      <c r="I6">
        <v>37.130635802367529</v>
      </c>
      <c r="J6">
        <v>0.24353026866796124</v>
      </c>
      <c r="K6">
        <v>17.220231271854207</v>
      </c>
      <c r="L6">
        <v>9.3829871741436826</v>
      </c>
      <c r="M6">
        <v>11.240396518217807</v>
      </c>
      <c r="N6">
        <v>5</v>
      </c>
    </row>
    <row r="7" spans="1:28">
      <c r="A7" t="s">
        <v>33</v>
      </c>
      <c r="B7" t="s">
        <v>14</v>
      </c>
      <c r="C7" s="2" t="s">
        <v>0</v>
      </c>
      <c r="D7" s="2"/>
      <c r="E7" s="1" t="s">
        <v>120</v>
      </c>
      <c r="F7">
        <v>0.86501924334796854</v>
      </c>
      <c r="G7">
        <v>35.748985570739016</v>
      </c>
      <c r="H7">
        <v>395.46611857587158</v>
      </c>
      <c r="I7">
        <v>57.563021246709916</v>
      </c>
      <c r="J7">
        <v>1.2318368301159066</v>
      </c>
      <c r="K7">
        <v>25.513000106482657</v>
      </c>
      <c r="L7">
        <v>272.54910509264789</v>
      </c>
      <c r="M7">
        <v>314.18405452370484</v>
      </c>
      <c r="N7">
        <v>5</v>
      </c>
    </row>
    <row r="8" spans="1:28">
      <c r="A8" t="s">
        <v>33</v>
      </c>
      <c r="B8" t="s">
        <v>15</v>
      </c>
      <c r="C8" s="2" t="s">
        <v>1</v>
      </c>
      <c r="D8" s="2"/>
      <c r="E8" s="1" t="s">
        <v>120</v>
      </c>
      <c r="F8">
        <v>0.88656105008731589</v>
      </c>
      <c r="G8">
        <v>21.274117579071415</v>
      </c>
      <c r="H8">
        <v>34.826061251676549</v>
      </c>
      <c r="I8">
        <v>52.508533848807922</v>
      </c>
      <c r="J8">
        <v>0.21065496754629021</v>
      </c>
      <c r="K8">
        <v>24.521995784066746</v>
      </c>
      <c r="L8">
        <v>8.7833807384011191</v>
      </c>
      <c r="M8">
        <v>10.179775574037372</v>
      </c>
      <c r="N8">
        <v>5</v>
      </c>
    </row>
    <row r="9" spans="1:28">
      <c r="A9" t="s">
        <v>33</v>
      </c>
      <c r="B9" t="s">
        <v>16</v>
      </c>
      <c r="C9" s="2" t="s">
        <v>2</v>
      </c>
      <c r="D9" s="2"/>
      <c r="E9" s="1" t="s">
        <v>120</v>
      </c>
      <c r="F9">
        <v>0.9279084140152204</v>
      </c>
      <c r="G9">
        <v>48.102592972145246</v>
      </c>
      <c r="H9">
        <v>219.37686437793496</v>
      </c>
      <c r="I9">
        <v>57.652621836731157</v>
      </c>
      <c r="J9">
        <v>0.5398836848281815</v>
      </c>
      <c r="K9">
        <v>9.9502613620541265</v>
      </c>
      <c r="L9">
        <v>112.65266362091219</v>
      </c>
      <c r="M9">
        <v>91.912710611649771</v>
      </c>
      <c r="N9">
        <v>5</v>
      </c>
    </row>
    <row r="10" spans="1:28">
      <c r="A10" t="s">
        <v>33</v>
      </c>
      <c r="B10" t="s">
        <v>17</v>
      </c>
      <c r="C10" s="2" t="s">
        <v>3</v>
      </c>
      <c r="D10" s="2"/>
      <c r="E10" s="1" t="s">
        <v>120</v>
      </c>
      <c r="F10">
        <v>0.80702183651452364</v>
      </c>
      <c r="G10">
        <v>10.455680618415109</v>
      </c>
      <c r="H10">
        <v>178.87378354518839</v>
      </c>
      <c r="I10">
        <v>40.299038984451677</v>
      </c>
      <c r="J10">
        <v>0.27233494334137037</v>
      </c>
      <c r="K10">
        <v>7.8353679661454105</v>
      </c>
      <c r="L10">
        <v>9.4100335939093522</v>
      </c>
      <c r="M10">
        <v>13.389546649879703</v>
      </c>
      <c r="N10">
        <v>5</v>
      </c>
    </row>
    <row r="11" spans="1:28">
      <c r="A11" t="s">
        <v>33</v>
      </c>
      <c r="B11" t="s">
        <v>18</v>
      </c>
      <c r="C11" s="2" t="s">
        <v>4</v>
      </c>
      <c r="D11" s="2"/>
      <c r="E11" s="1" t="s">
        <v>120</v>
      </c>
      <c r="F11">
        <v>0.72368374488545484</v>
      </c>
      <c r="G11">
        <v>5.1239409469326826</v>
      </c>
      <c r="H11">
        <v>24.593890076209743</v>
      </c>
      <c r="I11">
        <v>51.382073750158312</v>
      </c>
      <c r="J11">
        <v>0.30552330966207991</v>
      </c>
      <c r="K11">
        <v>18.000350203003009</v>
      </c>
      <c r="L11">
        <v>18.908057017564776</v>
      </c>
      <c r="M11">
        <v>30.743648026756269</v>
      </c>
      <c r="N11">
        <v>5</v>
      </c>
    </row>
    <row r="12" spans="1:28">
      <c r="A12" t="s">
        <v>33</v>
      </c>
      <c r="B12" t="s">
        <v>19</v>
      </c>
      <c r="C12" s="2" t="s">
        <v>5</v>
      </c>
      <c r="D12" s="2"/>
      <c r="E12" s="1" t="s">
        <v>120</v>
      </c>
      <c r="F12">
        <v>0.96161313509105339</v>
      </c>
      <c r="G12">
        <v>23.964656258597035</v>
      </c>
      <c r="H12">
        <v>469.12717995209761</v>
      </c>
      <c r="I12">
        <v>41.903309867642157</v>
      </c>
      <c r="J12">
        <v>0.63607330014090313</v>
      </c>
      <c r="K12">
        <v>9.1039868773002333</v>
      </c>
      <c r="L12">
        <v>125.28663377666911</v>
      </c>
      <c r="M12">
        <v>170.20697097150486</v>
      </c>
      <c r="N12">
        <v>5</v>
      </c>
    </row>
    <row r="13" spans="1:28">
      <c r="A13" t="s">
        <v>33</v>
      </c>
      <c r="B13" t="s">
        <v>20</v>
      </c>
      <c r="C13" s="2" t="s">
        <v>6</v>
      </c>
      <c r="D13" s="2"/>
      <c r="E13" s="1" t="s">
        <v>120</v>
      </c>
      <c r="F13">
        <v>1.2222271505973339</v>
      </c>
      <c r="G13">
        <v>11.038185180700172</v>
      </c>
      <c r="H13">
        <v>48.536706315537195</v>
      </c>
      <c r="I13">
        <v>96.735988018993396</v>
      </c>
      <c r="J13">
        <v>0.29030406206297854</v>
      </c>
      <c r="K13">
        <v>10.660638353397356</v>
      </c>
      <c r="L13">
        <v>32.022127097341219</v>
      </c>
      <c r="M13">
        <v>24.357999230689543</v>
      </c>
      <c r="N13">
        <v>5</v>
      </c>
    </row>
    <row r="14" spans="1:28">
      <c r="A14" t="s">
        <v>33</v>
      </c>
      <c r="B14" t="s">
        <v>21</v>
      </c>
      <c r="C14" s="2" t="s">
        <v>7</v>
      </c>
      <c r="D14" s="2"/>
      <c r="E14" s="1" t="s">
        <v>120</v>
      </c>
      <c r="F14">
        <v>1.035875758861204</v>
      </c>
      <c r="G14">
        <v>6.7968407717507775</v>
      </c>
      <c r="H14">
        <v>133.26966325321399</v>
      </c>
      <c r="I14">
        <v>87.803690847940175</v>
      </c>
      <c r="J14">
        <v>0.67431164589372905</v>
      </c>
      <c r="K14">
        <v>8.6857484126838305</v>
      </c>
      <c r="L14">
        <v>135.8285002973293</v>
      </c>
      <c r="M14">
        <v>192.74606876714873</v>
      </c>
      <c r="N14">
        <v>5</v>
      </c>
    </row>
    <row r="15" spans="1:28">
      <c r="A15" t="s">
        <v>33</v>
      </c>
      <c r="B15" t="s">
        <v>22</v>
      </c>
      <c r="C15" s="2" t="s">
        <v>8</v>
      </c>
      <c r="D15" s="2"/>
      <c r="E15" s="1" t="s">
        <v>120</v>
      </c>
      <c r="F15">
        <v>0.92188121713274906</v>
      </c>
      <c r="G15">
        <v>42.027593789363983</v>
      </c>
      <c r="H15">
        <v>186.15008319723401</v>
      </c>
      <c r="I15">
        <v>39.633014680025624</v>
      </c>
      <c r="J15">
        <v>0.32814841295460101</v>
      </c>
      <c r="K15">
        <v>11.031716815464861</v>
      </c>
      <c r="L15">
        <v>105.33504986099311</v>
      </c>
      <c r="M15">
        <v>122.79761862196219</v>
      </c>
      <c r="N15">
        <v>5</v>
      </c>
    </row>
    <row r="16" spans="1:28">
      <c r="A16" t="s">
        <v>58</v>
      </c>
      <c r="B16" t="s">
        <v>34</v>
      </c>
      <c r="C16" t="s">
        <v>35</v>
      </c>
      <c r="E16" s="4" t="s">
        <v>61</v>
      </c>
      <c r="F16">
        <v>2.4240384752474555</v>
      </c>
      <c r="G16">
        <v>11.994102980491613</v>
      </c>
      <c r="H16">
        <v>468.38955954380759</v>
      </c>
      <c r="I16">
        <v>17.210719873136657</v>
      </c>
      <c r="J16">
        <v>9.0461226093249802</v>
      </c>
      <c r="K16">
        <v>175.65853023117276</v>
      </c>
      <c r="L16">
        <v>556.80649953290072</v>
      </c>
      <c r="M16">
        <v>513.90317393468467</v>
      </c>
      <c r="N16">
        <v>1</v>
      </c>
      <c r="P16" t="s">
        <v>58</v>
      </c>
      <c r="Q16" t="s">
        <v>34</v>
      </c>
      <c r="R16" t="s">
        <v>35</v>
      </c>
      <c r="T16" s="4" t="s">
        <v>61</v>
      </c>
      <c r="U16">
        <v>2.4240384752474555</v>
      </c>
      <c r="V16">
        <v>11.994102980491613</v>
      </c>
      <c r="W16">
        <v>468.38955954380759</v>
      </c>
      <c r="X16">
        <v>17.210719873136657</v>
      </c>
      <c r="Y16">
        <v>9.0461226093249802</v>
      </c>
      <c r="Z16">
        <v>175.65853023117276</v>
      </c>
      <c r="AA16">
        <v>556.80649953290072</v>
      </c>
      <c r="AB16">
        <v>513.90317393468467</v>
      </c>
    </row>
    <row r="17" spans="1:28">
      <c r="A17" t="s">
        <v>58</v>
      </c>
      <c r="B17" t="s">
        <v>36</v>
      </c>
      <c r="C17" t="s">
        <v>37</v>
      </c>
      <c r="E17" s="4" t="s">
        <v>61</v>
      </c>
      <c r="F17">
        <v>2.3029585788126603</v>
      </c>
      <c r="G17">
        <v>12.848314913862716</v>
      </c>
      <c r="H17">
        <v>447.94133990479213</v>
      </c>
      <c r="I17">
        <v>17.48493818558244</v>
      </c>
      <c r="J17">
        <v>8.1723364792775737</v>
      </c>
      <c r="K17">
        <v>174.43419391518393</v>
      </c>
      <c r="L17">
        <v>588.74721751902257</v>
      </c>
      <c r="M17">
        <v>627.11718748768214</v>
      </c>
      <c r="N17">
        <v>1</v>
      </c>
      <c r="P17" t="s">
        <v>58</v>
      </c>
      <c r="Q17" t="s">
        <v>36</v>
      </c>
      <c r="R17" t="s">
        <v>37</v>
      </c>
      <c r="T17" s="4" t="s">
        <v>61</v>
      </c>
      <c r="U17">
        <v>2.3029585788126603</v>
      </c>
      <c r="V17">
        <v>12.848314913862716</v>
      </c>
      <c r="W17">
        <v>447.94133990479213</v>
      </c>
      <c r="X17">
        <v>17.48493818558244</v>
      </c>
      <c r="Y17">
        <v>8.1723364792775737</v>
      </c>
      <c r="Z17">
        <v>174.43419391518393</v>
      </c>
      <c r="AA17">
        <v>588.74721751902257</v>
      </c>
      <c r="AB17">
        <v>627.11718748768214</v>
      </c>
    </row>
    <row r="18" spans="1:28">
      <c r="A18" t="s">
        <v>58</v>
      </c>
      <c r="B18" t="s">
        <v>38</v>
      </c>
      <c r="C18" s="3" t="s">
        <v>39</v>
      </c>
      <c r="D18" s="3"/>
      <c r="E18" s="5" t="s">
        <v>61</v>
      </c>
      <c r="F18">
        <v>2.345928293878571</v>
      </c>
      <c r="G18">
        <v>12.4210935332361</v>
      </c>
      <c r="H18">
        <v>449.29715930327058</v>
      </c>
      <c r="I18">
        <v>17.329182493403763</v>
      </c>
      <c r="J18">
        <v>9.0241428147331195</v>
      </c>
      <c r="K18">
        <v>165.6397343820345</v>
      </c>
      <c r="L18">
        <v>521.81682436992435</v>
      </c>
      <c r="M18">
        <v>548.66957616592072</v>
      </c>
      <c r="N18">
        <v>1</v>
      </c>
      <c r="P18" t="s">
        <v>58</v>
      </c>
      <c r="Q18" t="s">
        <v>38</v>
      </c>
      <c r="R18" s="3" t="s">
        <v>39</v>
      </c>
      <c r="S18" s="3"/>
      <c r="T18" s="5" t="s">
        <v>61</v>
      </c>
      <c r="U18">
        <v>2.345928293878571</v>
      </c>
      <c r="V18">
        <v>12.4210935332361</v>
      </c>
      <c r="W18">
        <v>449.29715930327058</v>
      </c>
      <c r="X18">
        <v>17.329182493403763</v>
      </c>
      <c r="Y18">
        <v>9.0241428147331195</v>
      </c>
      <c r="Z18">
        <v>165.6397343820345</v>
      </c>
      <c r="AA18">
        <v>521.81682436992435</v>
      </c>
      <c r="AB18">
        <v>548.66957616592072</v>
      </c>
    </row>
    <row r="19" spans="1:28">
      <c r="A19" t="s">
        <v>58</v>
      </c>
      <c r="B19" t="s">
        <v>40</v>
      </c>
      <c r="C19" s="3" t="s">
        <v>41</v>
      </c>
      <c r="D19" s="3"/>
      <c r="E19" s="6" t="s">
        <v>62</v>
      </c>
      <c r="F19">
        <v>1.5770705354627657</v>
      </c>
      <c r="G19">
        <v>6.7189407304641602</v>
      </c>
      <c r="H19">
        <v>302.79267025152586</v>
      </c>
      <c r="I19">
        <v>18.657383483251486</v>
      </c>
      <c r="J19">
        <v>3.1512495171605153</v>
      </c>
      <c r="K19">
        <v>48.952169951362642</v>
      </c>
      <c r="L19">
        <v>174.51428541350577</v>
      </c>
      <c r="M19">
        <v>219.93697957266215</v>
      </c>
      <c r="N19">
        <v>2</v>
      </c>
      <c r="P19" t="s">
        <v>58</v>
      </c>
      <c r="Q19" t="s">
        <v>40</v>
      </c>
      <c r="R19" s="3" t="s">
        <v>41</v>
      </c>
      <c r="S19" s="3"/>
      <c r="T19" s="6" t="s">
        <v>62</v>
      </c>
      <c r="U19">
        <v>1.5770705354627657</v>
      </c>
      <c r="V19">
        <v>6.7189407304641602</v>
      </c>
      <c r="W19">
        <v>302.79267025152586</v>
      </c>
      <c r="X19">
        <v>18.657383483251486</v>
      </c>
      <c r="Y19">
        <v>3.1512495171605153</v>
      </c>
      <c r="Z19">
        <v>48.952169951362642</v>
      </c>
      <c r="AA19">
        <v>174.51428541350577</v>
      </c>
      <c r="AB19">
        <v>219.93697957266215</v>
      </c>
    </row>
    <row r="20" spans="1:28">
      <c r="A20" t="s">
        <v>58</v>
      </c>
      <c r="B20" t="s">
        <v>42</v>
      </c>
      <c r="C20" s="3" t="s">
        <v>43</v>
      </c>
      <c r="D20" s="3"/>
      <c r="E20" s="6" t="s">
        <v>62</v>
      </c>
      <c r="F20">
        <v>1.5979015509006576</v>
      </c>
      <c r="G20">
        <v>7.0066786694995518</v>
      </c>
      <c r="H20">
        <v>308.31198972930645</v>
      </c>
      <c r="I20">
        <v>18.821290469293292</v>
      </c>
      <c r="J20">
        <v>3.4112927201749854</v>
      </c>
      <c r="K20">
        <v>47.295715951994339</v>
      </c>
      <c r="L20">
        <v>167.46871571763438</v>
      </c>
      <c r="M20">
        <v>156.34316228209411</v>
      </c>
      <c r="N20">
        <v>2</v>
      </c>
      <c r="P20" t="s">
        <v>58</v>
      </c>
      <c r="Q20" t="s">
        <v>42</v>
      </c>
      <c r="R20" s="3" t="s">
        <v>43</v>
      </c>
      <c r="S20" s="3"/>
      <c r="T20" s="6" t="s">
        <v>62</v>
      </c>
      <c r="U20">
        <v>1.5979015509006576</v>
      </c>
      <c r="V20">
        <v>7.0066786694995518</v>
      </c>
      <c r="W20">
        <v>308.31198972930645</v>
      </c>
      <c r="X20">
        <v>18.821290469293292</v>
      </c>
      <c r="Y20">
        <v>3.4112927201749854</v>
      </c>
      <c r="Z20">
        <v>47.295715951994339</v>
      </c>
      <c r="AA20">
        <v>167.46871571763438</v>
      </c>
      <c r="AB20">
        <v>156.34316228209411</v>
      </c>
    </row>
    <row r="21" spans="1:28">
      <c r="A21" t="s">
        <v>58</v>
      </c>
      <c r="B21" t="s">
        <v>44</v>
      </c>
      <c r="C21" s="3" t="s">
        <v>45</v>
      </c>
      <c r="D21" s="3"/>
      <c r="E21" s="6" t="s">
        <v>62</v>
      </c>
      <c r="F21">
        <v>1.6682384240136723</v>
      </c>
      <c r="G21">
        <v>7.2962224303392018</v>
      </c>
      <c r="H21">
        <v>320.71440975593009</v>
      </c>
      <c r="I21">
        <v>18.326195021745924</v>
      </c>
      <c r="J21">
        <v>3.5690384469412031</v>
      </c>
      <c r="K21">
        <v>44.414757823823244</v>
      </c>
      <c r="L21">
        <v>157.62759062691416</v>
      </c>
      <c r="M21">
        <v>141.92032139848197</v>
      </c>
      <c r="N21">
        <v>2</v>
      </c>
      <c r="P21" t="s">
        <v>58</v>
      </c>
      <c r="Q21" t="s">
        <v>44</v>
      </c>
      <c r="R21" s="3" t="s">
        <v>45</v>
      </c>
      <c r="S21" s="3"/>
      <c r="T21" s="6" t="s">
        <v>62</v>
      </c>
      <c r="U21">
        <v>1.6682384240136723</v>
      </c>
      <c r="V21">
        <v>7.2962224303392018</v>
      </c>
      <c r="W21">
        <v>320.71440975593009</v>
      </c>
      <c r="X21">
        <v>18.326195021745924</v>
      </c>
      <c r="Y21">
        <v>3.5690384469412031</v>
      </c>
      <c r="Z21">
        <v>44.414757823823244</v>
      </c>
      <c r="AA21">
        <v>157.62759062691416</v>
      </c>
      <c r="AB21">
        <v>141.92032139848197</v>
      </c>
    </row>
    <row r="22" spans="1:28">
      <c r="A22" t="s">
        <v>58</v>
      </c>
      <c r="B22" t="s">
        <v>46</v>
      </c>
      <c r="C22" s="3" t="s">
        <v>47</v>
      </c>
      <c r="D22" s="3"/>
      <c r="E22" s="6" t="s">
        <v>63</v>
      </c>
      <c r="F22">
        <v>1.3415621166647502</v>
      </c>
      <c r="G22">
        <v>5.7020981777185344</v>
      </c>
      <c r="H22">
        <v>223.36742932630972</v>
      </c>
      <c r="I22">
        <v>18.673299261589669</v>
      </c>
      <c r="J22">
        <v>1.1983217414583234</v>
      </c>
      <c r="K22">
        <v>15.484944635332528</v>
      </c>
      <c r="L22">
        <v>25.883426323940235</v>
      </c>
      <c r="M22">
        <v>72.380084089451174</v>
      </c>
      <c r="N22">
        <v>3</v>
      </c>
      <c r="P22" t="s">
        <v>58</v>
      </c>
      <c r="Q22" t="s">
        <v>46</v>
      </c>
      <c r="R22" s="3" t="s">
        <v>47</v>
      </c>
      <c r="S22" s="3"/>
      <c r="T22" s="6" t="s">
        <v>63</v>
      </c>
      <c r="U22">
        <v>1.3415621166647502</v>
      </c>
      <c r="V22">
        <v>5.7020981777185344</v>
      </c>
      <c r="W22">
        <v>223.36742932630972</v>
      </c>
      <c r="X22">
        <v>18.673299261589669</v>
      </c>
      <c r="Y22">
        <v>1.1983217414583234</v>
      </c>
      <c r="Z22">
        <v>15.484944635332528</v>
      </c>
      <c r="AA22">
        <v>25.883426323940235</v>
      </c>
      <c r="AB22">
        <v>72.380084089451174</v>
      </c>
    </row>
    <row r="23" spans="1:28">
      <c r="A23" t="s">
        <v>58</v>
      </c>
      <c r="B23" t="s">
        <v>48</v>
      </c>
      <c r="C23" s="3" t="s">
        <v>49</v>
      </c>
      <c r="D23" s="3"/>
      <c r="E23" s="6" t="s">
        <v>63</v>
      </c>
      <c r="F23">
        <v>1.5575845128239232</v>
      </c>
      <c r="G23">
        <v>5.9421197851468381</v>
      </c>
      <c r="H23">
        <v>236.96242951649464</v>
      </c>
      <c r="I23">
        <v>29.761961607080888</v>
      </c>
      <c r="J23">
        <v>1.4098955149865431</v>
      </c>
      <c r="K23">
        <v>15.630759401881026</v>
      </c>
      <c r="L23">
        <v>25.786920422638271</v>
      </c>
      <c r="M23">
        <v>53.637733087144142</v>
      </c>
      <c r="N23">
        <v>3</v>
      </c>
      <c r="P23" t="s">
        <v>58</v>
      </c>
      <c r="Q23" t="s">
        <v>48</v>
      </c>
      <c r="R23" s="3" t="s">
        <v>49</v>
      </c>
      <c r="S23" s="3"/>
      <c r="T23" s="6" t="s">
        <v>63</v>
      </c>
      <c r="U23">
        <v>1.5575845128239232</v>
      </c>
      <c r="V23">
        <v>5.9421197851468381</v>
      </c>
      <c r="W23">
        <v>236.96242951649464</v>
      </c>
      <c r="X23">
        <v>29.761961607080888</v>
      </c>
      <c r="Y23">
        <v>1.4098955149865431</v>
      </c>
      <c r="Z23">
        <v>15.630759401881026</v>
      </c>
      <c r="AA23">
        <v>25.786920422638271</v>
      </c>
      <c r="AB23">
        <v>53.637733087144142</v>
      </c>
    </row>
    <row r="24" spans="1:28">
      <c r="A24" t="s">
        <v>58</v>
      </c>
      <c r="B24" t="s">
        <v>50</v>
      </c>
      <c r="C24" s="3" t="s">
        <v>51</v>
      </c>
      <c r="D24" s="3"/>
      <c r="E24" s="6" t="s">
        <v>63</v>
      </c>
      <c r="F24">
        <v>1.4277933288311244</v>
      </c>
      <c r="G24">
        <v>6.3871622724129553</v>
      </c>
      <c r="H24">
        <v>247.06680639675164</v>
      </c>
      <c r="I24">
        <v>18.790528988644279</v>
      </c>
      <c r="J24">
        <v>0.92571492034021241</v>
      </c>
      <c r="K24">
        <v>15.710662717164421</v>
      </c>
      <c r="L24">
        <v>30.053589541503872</v>
      </c>
      <c r="M24">
        <v>59.876917988874879</v>
      </c>
      <c r="N24">
        <v>3</v>
      </c>
      <c r="P24" t="s">
        <v>58</v>
      </c>
      <c r="Q24" t="s">
        <v>50</v>
      </c>
      <c r="R24" s="3" t="s">
        <v>51</v>
      </c>
      <c r="S24" s="3"/>
      <c r="T24" s="6" t="s">
        <v>63</v>
      </c>
      <c r="U24">
        <v>1.4277933288311244</v>
      </c>
      <c r="V24">
        <v>6.3871622724129553</v>
      </c>
      <c r="W24">
        <v>247.06680639675164</v>
      </c>
      <c r="X24">
        <v>18.790528988644279</v>
      </c>
      <c r="Y24">
        <v>0.92571492034021241</v>
      </c>
      <c r="Z24">
        <v>15.710662717164421</v>
      </c>
      <c r="AA24">
        <v>30.053589541503872</v>
      </c>
      <c r="AB24">
        <v>59.876917988874879</v>
      </c>
    </row>
    <row r="25" spans="1:28">
      <c r="A25" t="s">
        <v>58</v>
      </c>
      <c r="B25" t="s">
        <v>52</v>
      </c>
      <c r="C25" s="3" t="s">
        <v>53</v>
      </c>
      <c r="D25" s="3"/>
      <c r="E25" s="6" t="s">
        <v>126</v>
      </c>
      <c r="F25">
        <v>1.3244922852859213</v>
      </c>
      <c r="G25">
        <v>6.4856878848228394</v>
      </c>
      <c r="H25">
        <v>218.43171399770733</v>
      </c>
      <c r="I25">
        <v>19.685248179403228</v>
      </c>
      <c r="J25">
        <v>0.96641509427694361</v>
      </c>
      <c r="K25">
        <v>15.895692464599502</v>
      </c>
      <c r="L25">
        <v>17.47462352076996</v>
      </c>
      <c r="M25">
        <v>45.282253824305165</v>
      </c>
      <c r="N25">
        <v>4</v>
      </c>
      <c r="P25" t="s">
        <v>58</v>
      </c>
      <c r="Q25" t="s">
        <v>52</v>
      </c>
      <c r="R25" s="3" t="s">
        <v>53</v>
      </c>
      <c r="S25" s="3"/>
      <c r="T25" s="6" t="s">
        <v>126</v>
      </c>
      <c r="U25">
        <v>1.3244922852859213</v>
      </c>
      <c r="V25">
        <v>6.4856878848228394</v>
      </c>
      <c r="W25">
        <v>218.43171399770733</v>
      </c>
      <c r="X25">
        <v>19.685248179403228</v>
      </c>
      <c r="Y25">
        <v>0.96641509427694361</v>
      </c>
      <c r="Z25">
        <v>15.895692464599502</v>
      </c>
      <c r="AA25">
        <v>17.47462352076996</v>
      </c>
      <c r="AB25">
        <v>45.282253824305165</v>
      </c>
    </row>
    <row r="26" spans="1:28">
      <c r="A26" t="s">
        <v>58</v>
      </c>
      <c r="B26" t="s">
        <v>54</v>
      </c>
      <c r="C26" s="3" t="s">
        <v>55</v>
      </c>
      <c r="D26" s="3"/>
      <c r="E26" s="6" t="s">
        <v>126</v>
      </c>
      <c r="F26">
        <v>1.3081440292087358</v>
      </c>
      <c r="G26">
        <v>6.0094659185272432</v>
      </c>
      <c r="H26">
        <v>221.35630060801955</v>
      </c>
      <c r="I26">
        <v>19.410276393833488</v>
      </c>
      <c r="J26">
        <v>0.79350979357986651</v>
      </c>
      <c r="K26">
        <v>15.74809501785283</v>
      </c>
      <c r="L26">
        <v>23.308749817709145</v>
      </c>
      <c r="M26">
        <v>62.512748584023385</v>
      </c>
      <c r="N26">
        <v>4</v>
      </c>
      <c r="P26" t="s">
        <v>58</v>
      </c>
      <c r="Q26" t="s">
        <v>54</v>
      </c>
      <c r="R26" s="3" t="s">
        <v>55</v>
      </c>
      <c r="S26" s="3"/>
      <c r="T26" s="6" t="s">
        <v>126</v>
      </c>
      <c r="U26">
        <v>1.3081440292087358</v>
      </c>
      <c r="V26">
        <v>6.0094659185272432</v>
      </c>
      <c r="W26">
        <v>221.35630060801955</v>
      </c>
      <c r="X26">
        <v>19.410276393833488</v>
      </c>
      <c r="Y26">
        <v>0.79350979357986651</v>
      </c>
      <c r="Z26">
        <v>15.74809501785283</v>
      </c>
      <c r="AA26">
        <v>23.308749817709145</v>
      </c>
      <c r="AB26">
        <v>62.512748584023385</v>
      </c>
    </row>
    <row r="27" spans="1:28">
      <c r="A27" t="s">
        <v>58</v>
      </c>
      <c r="B27" t="s">
        <v>56</v>
      </c>
      <c r="C27" s="3" t="s">
        <v>57</v>
      </c>
      <c r="D27" s="3"/>
      <c r="E27" s="6" t="s">
        <v>126</v>
      </c>
      <c r="F27">
        <v>1.4717601344048605</v>
      </c>
      <c r="G27">
        <v>6.7204925698794984</v>
      </c>
      <c r="H27">
        <v>230.31890204975423</v>
      </c>
      <c r="I27">
        <v>18.902391052529889</v>
      </c>
      <c r="J27">
        <v>3.0758591947397695</v>
      </c>
      <c r="K27">
        <v>14.818881820090528</v>
      </c>
      <c r="L27">
        <v>19.593911628595208</v>
      </c>
      <c r="M27">
        <v>46.069786166823988</v>
      </c>
      <c r="N27">
        <v>4</v>
      </c>
      <c r="P27" t="s">
        <v>58</v>
      </c>
      <c r="Q27" t="s">
        <v>56</v>
      </c>
      <c r="R27" s="3" t="s">
        <v>57</v>
      </c>
      <c r="S27" s="3"/>
      <c r="T27" s="6" t="s">
        <v>126</v>
      </c>
      <c r="U27">
        <v>1.4717601344048605</v>
      </c>
      <c r="V27">
        <v>6.7204925698794984</v>
      </c>
      <c r="W27">
        <v>230.31890204975423</v>
      </c>
      <c r="X27">
        <v>18.902391052529889</v>
      </c>
      <c r="Y27">
        <v>3.0758591947397695</v>
      </c>
      <c r="Z27">
        <v>14.818881820090528</v>
      </c>
      <c r="AA27">
        <v>19.593911628595208</v>
      </c>
      <c r="AB27">
        <v>46.069786166823988</v>
      </c>
    </row>
    <row r="28" spans="1:28">
      <c r="A28" t="s">
        <v>33</v>
      </c>
      <c r="B28" t="s">
        <v>64</v>
      </c>
      <c r="C28" s="3" t="s">
        <v>105</v>
      </c>
      <c r="D28" s="3"/>
      <c r="E28" s="6" t="s">
        <v>120</v>
      </c>
      <c r="F28">
        <v>0.95926114347927749</v>
      </c>
      <c r="G28">
        <v>12.066556365700901</v>
      </c>
      <c r="H28">
        <v>161.92274315291311</v>
      </c>
      <c r="I28">
        <v>52.3487620801763</v>
      </c>
      <c r="J28">
        <v>0.64003041011396244</v>
      </c>
      <c r="K28">
        <v>16.514215278927544</v>
      </c>
      <c r="L28">
        <v>25.154315378283385</v>
      </c>
      <c r="M28">
        <v>42.292238756116532</v>
      </c>
      <c r="N28">
        <v>5</v>
      </c>
    </row>
    <row r="29" spans="1:28">
      <c r="A29" t="s">
        <v>33</v>
      </c>
      <c r="B29" t="s">
        <v>65</v>
      </c>
      <c r="C29" s="1" t="s">
        <v>89</v>
      </c>
      <c r="D29" s="1"/>
      <c r="E29" s="6" t="s">
        <v>120</v>
      </c>
      <c r="F29">
        <v>0.72199635922676897</v>
      </c>
      <c r="G29">
        <v>27.097383191755213</v>
      </c>
      <c r="H29">
        <v>277.34523327873609</v>
      </c>
    </row>
    <row r="30" spans="1:28">
      <c r="A30" t="s">
        <v>33</v>
      </c>
      <c r="B30" t="s">
        <v>66</v>
      </c>
      <c r="C30" s="1" t="s">
        <v>92</v>
      </c>
      <c r="D30" s="1"/>
      <c r="E30" s="6" t="s">
        <v>120</v>
      </c>
      <c r="F30">
        <v>0.81336733202131484</v>
      </c>
      <c r="G30">
        <v>21.186105772811882</v>
      </c>
      <c r="H30">
        <v>15.801180336692479</v>
      </c>
      <c r="U30">
        <f>AVERAGE(U22:U24)</f>
        <v>1.4423133194399327</v>
      </c>
      <c r="V30">
        <f t="shared" ref="V30:AB30" si="0">AVERAGE(V22:V24)</f>
        <v>6.0104600784261093</v>
      </c>
      <c r="W30">
        <f t="shared" si="0"/>
        <v>235.79888841318532</v>
      </c>
      <c r="X30">
        <f t="shared" si="0"/>
        <v>22.408596619104944</v>
      </c>
      <c r="Y30">
        <f t="shared" si="0"/>
        <v>1.177977392261693</v>
      </c>
      <c r="Z30">
        <f t="shared" si="0"/>
        <v>15.60878891812599</v>
      </c>
      <c r="AA30">
        <f t="shared" si="0"/>
        <v>27.241312096027457</v>
      </c>
      <c r="AB30">
        <f t="shared" si="0"/>
        <v>61.964911721823398</v>
      </c>
    </row>
    <row r="31" spans="1:28">
      <c r="A31" t="s">
        <v>33</v>
      </c>
      <c r="B31" t="s">
        <v>67</v>
      </c>
      <c r="C31" s="1" t="s">
        <v>93</v>
      </c>
      <c r="D31" s="1"/>
      <c r="E31" s="6" t="s">
        <v>120</v>
      </c>
      <c r="F31">
        <v>0.77073714592290399</v>
      </c>
      <c r="G31">
        <v>18.418874611647716</v>
      </c>
      <c r="H31">
        <v>43.484155321149728</v>
      </c>
    </row>
    <row r="32" spans="1:28">
      <c r="A32" t="s">
        <v>33</v>
      </c>
      <c r="B32" t="s">
        <v>68</v>
      </c>
      <c r="C32" s="1" t="s">
        <v>90</v>
      </c>
      <c r="D32" s="1"/>
      <c r="E32" s="6" t="s">
        <v>120</v>
      </c>
      <c r="F32">
        <v>0.71925333016162252</v>
      </c>
      <c r="G32">
        <v>31.627582864321159</v>
      </c>
      <c r="H32">
        <v>262.70779801455848</v>
      </c>
    </row>
    <row r="33" spans="1:14">
      <c r="A33" t="s">
        <v>33</v>
      </c>
      <c r="B33" t="s">
        <v>69</v>
      </c>
      <c r="C33" s="1" t="s">
        <v>91</v>
      </c>
      <c r="D33" s="1"/>
      <c r="E33" s="6" t="s">
        <v>120</v>
      </c>
      <c r="F33">
        <v>0.85938488401942481</v>
      </c>
      <c r="G33">
        <v>27.654924218398499</v>
      </c>
      <c r="H33">
        <v>280.87195861435953</v>
      </c>
    </row>
    <row r="34" spans="1:14">
      <c r="A34" t="s">
        <v>33</v>
      </c>
      <c r="B34" t="s">
        <v>70</v>
      </c>
      <c r="C34" s="1" t="s">
        <v>94</v>
      </c>
      <c r="D34" s="1"/>
      <c r="E34" s="6" t="s">
        <v>120</v>
      </c>
      <c r="F34">
        <v>0.87057806018547423</v>
      </c>
      <c r="G34">
        <v>16.354827881837799</v>
      </c>
      <c r="H34">
        <v>19.586506653739349</v>
      </c>
    </row>
    <row r="35" spans="1:14">
      <c r="A35" t="s">
        <v>33</v>
      </c>
      <c r="B35" t="s">
        <v>71</v>
      </c>
      <c r="C35" s="1" t="s">
        <v>95</v>
      </c>
      <c r="D35" s="1"/>
      <c r="E35" s="6" t="s">
        <v>120</v>
      </c>
      <c r="F35">
        <v>0.76182168425168695</v>
      </c>
      <c r="G35">
        <v>49.075023070080348</v>
      </c>
      <c r="H35">
        <v>139.64951763061828</v>
      </c>
    </row>
    <row r="36" spans="1:14">
      <c r="A36" t="s">
        <v>33</v>
      </c>
      <c r="B36" t="s">
        <v>72</v>
      </c>
      <c r="C36" s="1" t="s">
        <v>96</v>
      </c>
      <c r="D36" s="1"/>
      <c r="E36" s="6" t="s">
        <v>120</v>
      </c>
      <c r="F36">
        <v>0.89073325978086304</v>
      </c>
      <c r="G36">
        <v>26.297978147991028</v>
      </c>
      <c r="H36">
        <v>83.555030132529765</v>
      </c>
      <c r="I36">
        <v>52.635236342296423</v>
      </c>
      <c r="J36">
        <v>0.48012222161367712</v>
      </c>
      <c r="K36">
        <v>13.560878679756133</v>
      </c>
      <c r="L36">
        <v>159.00437811922646</v>
      </c>
      <c r="M36">
        <v>201.55003627239822</v>
      </c>
      <c r="N36">
        <v>5</v>
      </c>
    </row>
    <row r="37" spans="1:14">
      <c r="A37" t="s">
        <v>33</v>
      </c>
      <c r="B37" t="s">
        <v>73</v>
      </c>
      <c r="C37" s="1" t="s">
        <v>97</v>
      </c>
      <c r="D37" s="1"/>
      <c r="E37" s="6" t="s">
        <v>120</v>
      </c>
      <c r="F37">
        <v>0.93411780636498165</v>
      </c>
      <c r="G37">
        <v>7.0775871547635152</v>
      </c>
      <c r="H37">
        <v>65.932761359164886</v>
      </c>
      <c r="I37">
        <v>86.748147771317761</v>
      </c>
      <c r="J37">
        <v>0.78466152515311383</v>
      </c>
      <c r="K37">
        <v>7.3467092504809255</v>
      </c>
      <c r="L37">
        <v>136.35039159596252</v>
      </c>
      <c r="M37">
        <v>174.50818201290463</v>
      </c>
      <c r="N37">
        <v>5</v>
      </c>
    </row>
    <row r="38" spans="1:14">
      <c r="A38" t="s">
        <v>33</v>
      </c>
      <c r="B38" t="s">
        <v>74</v>
      </c>
      <c r="C38" s="1" t="s">
        <v>98</v>
      </c>
      <c r="D38" s="1"/>
      <c r="E38" s="6" t="s">
        <v>120</v>
      </c>
      <c r="F38">
        <v>0.89366146204626984</v>
      </c>
      <c r="G38">
        <v>16.726709874350476</v>
      </c>
      <c r="H38">
        <v>181.52054191546878</v>
      </c>
      <c r="I38">
        <v>43.197281943272245</v>
      </c>
      <c r="J38">
        <v>0.33262348710927125</v>
      </c>
      <c r="K38">
        <v>11.767537332380073</v>
      </c>
      <c r="L38">
        <v>21.7520704421615</v>
      </c>
      <c r="M38">
        <v>26.353884770157411</v>
      </c>
      <c r="N38">
        <v>5</v>
      </c>
    </row>
    <row r="39" spans="1:14">
      <c r="A39" t="s">
        <v>33</v>
      </c>
      <c r="B39" t="s">
        <v>75</v>
      </c>
      <c r="C39" s="1" t="s">
        <v>99</v>
      </c>
      <c r="D39" s="1"/>
      <c r="E39" s="6" t="s">
        <v>120</v>
      </c>
      <c r="F39">
        <v>0.88084948543585173</v>
      </c>
      <c r="G39">
        <v>28.204916533395153</v>
      </c>
      <c r="H39">
        <v>289.46023750181877</v>
      </c>
      <c r="I39">
        <v>53.705645309763199</v>
      </c>
      <c r="J39">
        <v>0.44298927093214113</v>
      </c>
      <c r="K39">
        <v>11.393132915155682</v>
      </c>
      <c r="L39">
        <v>41.78102589694803</v>
      </c>
      <c r="M39">
        <v>111.76200703682701</v>
      </c>
      <c r="N39">
        <v>5</v>
      </c>
    </row>
    <row r="40" spans="1:14">
      <c r="A40" t="s">
        <v>33</v>
      </c>
      <c r="B40" t="s">
        <v>76</v>
      </c>
      <c r="C40" s="1" t="s">
        <v>100</v>
      </c>
      <c r="D40" s="1"/>
      <c r="E40" s="6" t="s">
        <v>120</v>
      </c>
      <c r="F40">
        <v>0.86536802145215086</v>
      </c>
      <c r="G40">
        <v>20.795897804959665</v>
      </c>
      <c r="H40">
        <v>61.336338232269597</v>
      </c>
      <c r="I40">
        <v>77.776681989483095</v>
      </c>
      <c r="J40">
        <v>0.32887870460706831</v>
      </c>
      <c r="K40">
        <v>21.817958441671976</v>
      </c>
      <c r="L40">
        <v>63.694457909015462</v>
      </c>
      <c r="M40">
        <v>121.65943856354582</v>
      </c>
      <c r="N40">
        <v>5</v>
      </c>
    </row>
    <row r="41" spans="1:14">
      <c r="A41" t="s">
        <v>33</v>
      </c>
      <c r="B41" t="s">
        <v>77</v>
      </c>
      <c r="C41" s="1" t="s">
        <v>101</v>
      </c>
      <c r="D41" s="1"/>
      <c r="E41" s="6" t="s">
        <v>120</v>
      </c>
      <c r="F41">
        <v>0.9162235079877068</v>
      </c>
      <c r="G41">
        <v>24.545744470135475</v>
      </c>
      <c r="H41">
        <v>61.937779563104371</v>
      </c>
      <c r="I41">
        <v>173.89847383049559</v>
      </c>
      <c r="J41">
        <v>1.0827120164312798</v>
      </c>
      <c r="K41">
        <v>19.315274981928059</v>
      </c>
      <c r="L41">
        <v>136.73734233042214</v>
      </c>
      <c r="M41">
        <v>156.07035135394165</v>
      </c>
      <c r="N41">
        <v>5</v>
      </c>
    </row>
    <row r="42" spans="1:14">
      <c r="A42" t="s">
        <v>33</v>
      </c>
      <c r="B42" t="s">
        <v>78</v>
      </c>
      <c r="C42" s="1" t="s">
        <v>102</v>
      </c>
      <c r="D42" s="1"/>
      <c r="E42" s="6" t="s">
        <v>120</v>
      </c>
      <c r="F42">
        <v>0.8763828636338783</v>
      </c>
      <c r="G42">
        <v>12.79266909986408</v>
      </c>
      <c r="H42">
        <v>44.383724815034029</v>
      </c>
      <c r="I42">
        <v>48.063124119531857</v>
      </c>
      <c r="J42">
        <v>0.25528721534446464</v>
      </c>
      <c r="K42">
        <v>27.042002636147195</v>
      </c>
      <c r="L42">
        <v>16.096262547244134</v>
      </c>
      <c r="M42">
        <v>35.592166881550789</v>
      </c>
      <c r="N42">
        <v>5</v>
      </c>
    </row>
    <row r="43" spans="1:14">
      <c r="A43" t="s">
        <v>33</v>
      </c>
      <c r="B43" t="s">
        <v>79</v>
      </c>
      <c r="C43" s="1" t="s">
        <v>103</v>
      </c>
      <c r="D43" s="1"/>
      <c r="E43" s="6" t="s">
        <v>120</v>
      </c>
      <c r="F43">
        <v>0.82943994592263348</v>
      </c>
      <c r="G43">
        <v>9.1531551300475531</v>
      </c>
      <c r="H43">
        <v>32.173873045758981</v>
      </c>
      <c r="I43">
        <v>103.26174930766932</v>
      </c>
      <c r="J43">
        <v>0.22714613772822062</v>
      </c>
      <c r="K43">
        <v>9.9785579303476677</v>
      </c>
      <c r="L43">
        <v>9.8085980896599594</v>
      </c>
      <c r="M43">
        <v>20.539170496042239</v>
      </c>
      <c r="N43">
        <v>5</v>
      </c>
    </row>
    <row r="44" spans="1:14">
      <c r="A44" t="s">
        <v>33</v>
      </c>
      <c r="B44" t="s">
        <v>80</v>
      </c>
      <c r="C44" s="1" t="s">
        <v>104</v>
      </c>
      <c r="D44" s="1"/>
      <c r="E44" s="6" t="s">
        <v>120</v>
      </c>
      <c r="F44">
        <v>1.0131888115815226</v>
      </c>
      <c r="G44">
        <v>15.618540947397582</v>
      </c>
      <c r="H44">
        <v>131.61087062204709</v>
      </c>
      <c r="I44">
        <v>41.18692741298365</v>
      </c>
      <c r="J44">
        <v>0.64119494484706341</v>
      </c>
      <c r="K44">
        <v>10.685825516912322</v>
      </c>
      <c r="L44">
        <v>107.18206794110587</v>
      </c>
      <c r="M44">
        <v>143.08753497233951</v>
      </c>
      <c r="N44">
        <v>5</v>
      </c>
    </row>
    <row r="45" spans="1:14">
      <c r="A45" t="s">
        <v>33</v>
      </c>
      <c r="B45" t="s">
        <v>81</v>
      </c>
      <c r="C45" s="1" t="s">
        <v>106</v>
      </c>
      <c r="D45" s="1"/>
      <c r="E45" s="6" t="s">
        <v>120</v>
      </c>
      <c r="F45">
        <v>1.029700689141007</v>
      </c>
      <c r="G45">
        <v>13.487810021148949</v>
      </c>
      <c r="H45">
        <v>180.02756940358057</v>
      </c>
      <c r="I45">
        <v>52.982528683786938</v>
      </c>
      <c r="J45">
        <v>0.70355394004385652</v>
      </c>
      <c r="K45">
        <v>11.931708235258521</v>
      </c>
      <c r="L45">
        <v>110.58649355921455</v>
      </c>
      <c r="M45">
        <v>93.972518031999115</v>
      </c>
      <c r="N45">
        <v>5</v>
      </c>
    </row>
    <row r="46" spans="1:14">
      <c r="A46" t="s">
        <v>33</v>
      </c>
      <c r="B46" t="s">
        <v>82</v>
      </c>
      <c r="C46" s="1" t="s">
        <v>107</v>
      </c>
      <c r="D46" s="1"/>
      <c r="E46" s="6" t="s">
        <v>120</v>
      </c>
      <c r="F46">
        <v>0.93919756584407754</v>
      </c>
      <c r="G46">
        <v>22.187098222622993</v>
      </c>
      <c r="H46">
        <v>232.81284658384095</v>
      </c>
      <c r="I46">
        <v>40.850015817504392</v>
      </c>
      <c r="J46">
        <v>0.66836608660612418</v>
      </c>
      <c r="K46">
        <v>25.3112561871514</v>
      </c>
      <c r="L46">
        <v>70.140545151448066</v>
      </c>
      <c r="M46">
        <v>70.280899721910259</v>
      </c>
      <c r="N46">
        <v>5</v>
      </c>
    </row>
    <row r="47" spans="1:14">
      <c r="A47" t="s">
        <v>33</v>
      </c>
      <c r="B47" t="s">
        <v>83</v>
      </c>
      <c r="C47" s="1" t="s">
        <v>108</v>
      </c>
      <c r="D47" s="1"/>
      <c r="E47" s="6" t="s">
        <v>120</v>
      </c>
      <c r="F47">
        <v>0.83825396406271191</v>
      </c>
      <c r="G47">
        <v>79.565372082083343</v>
      </c>
      <c r="H47">
        <v>310.58409849330383</v>
      </c>
      <c r="I47">
        <v>51.97966949576584</v>
      </c>
      <c r="J47">
        <v>1.187180700809771</v>
      </c>
      <c r="K47">
        <v>51.782563142503037</v>
      </c>
      <c r="L47">
        <v>386.60748366088694</v>
      </c>
      <c r="M47">
        <v>588.26064575105306</v>
      </c>
      <c r="N47">
        <v>5</v>
      </c>
    </row>
    <row r="48" spans="1:14">
      <c r="A48" t="s">
        <v>33</v>
      </c>
      <c r="B48" t="s">
        <v>84</v>
      </c>
      <c r="C48" s="1" t="s">
        <v>109</v>
      </c>
      <c r="D48" s="1"/>
      <c r="E48" s="6" t="s">
        <v>120</v>
      </c>
      <c r="F48">
        <v>0.90431285410188522</v>
      </c>
      <c r="G48">
        <v>27.000145839646486</v>
      </c>
      <c r="H48">
        <v>184.55978829978042</v>
      </c>
      <c r="I48">
        <v>35.304299846378434</v>
      </c>
      <c r="J48">
        <v>0.62191082466464265</v>
      </c>
      <c r="K48">
        <v>16.860920307063587</v>
      </c>
      <c r="L48">
        <v>46.7958548160343</v>
      </c>
      <c r="M48">
        <v>183.7360895710282</v>
      </c>
      <c r="N48">
        <v>5</v>
      </c>
    </row>
    <row r="49" spans="1:14">
      <c r="A49" t="s">
        <v>33</v>
      </c>
      <c r="B49" t="s">
        <v>85</v>
      </c>
      <c r="C49" s="1" t="s">
        <v>110</v>
      </c>
      <c r="D49" s="1"/>
      <c r="E49" s="6" t="s">
        <v>120</v>
      </c>
      <c r="F49">
        <v>0.90619233447163783</v>
      </c>
      <c r="G49">
        <v>60.278407692382387</v>
      </c>
      <c r="H49">
        <v>289.48893995925721</v>
      </c>
      <c r="I49">
        <v>92.398845717450115</v>
      </c>
      <c r="J49">
        <v>0.71666422027219223</v>
      </c>
      <c r="K49">
        <v>18.511438084366794</v>
      </c>
      <c r="L49">
        <v>68.829706823466779</v>
      </c>
      <c r="M49">
        <v>106.88888921316737</v>
      </c>
      <c r="N49">
        <v>5</v>
      </c>
    </row>
    <row r="50" spans="1:14">
      <c r="A50" t="s">
        <v>33</v>
      </c>
      <c r="B50" t="s">
        <v>86</v>
      </c>
      <c r="C50" s="1" t="s">
        <v>111</v>
      </c>
      <c r="D50" s="1"/>
      <c r="E50" s="6" t="s">
        <v>120</v>
      </c>
      <c r="F50">
        <v>0.95693048723895513</v>
      </c>
      <c r="G50">
        <v>17.080523833436768</v>
      </c>
      <c r="H50">
        <v>73.156940447001503</v>
      </c>
      <c r="I50">
        <v>29.573130556837636</v>
      </c>
      <c r="J50">
        <v>0.3797858517718064</v>
      </c>
      <c r="K50">
        <v>16.380057403292973</v>
      </c>
      <c r="L50">
        <v>38.341861069609458</v>
      </c>
      <c r="M50">
        <v>66.97128896449189</v>
      </c>
      <c r="N50">
        <v>5</v>
      </c>
    </row>
    <row r="51" spans="1:14">
      <c r="A51" t="s">
        <v>33</v>
      </c>
      <c r="B51" t="s">
        <v>87</v>
      </c>
      <c r="C51" s="1" t="s">
        <v>112</v>
      </c>
      <c r="D51" s="1"/>
      <c r="E51" s="6" t="s">
        <v>120</v>
      </c>
      <c r="F51">
        <v>0.91621224397381784</v>
      </c>
      <c r="G51">
        <v>25.058629677997317</v>
      </c>
      <c r="H51">
        <v>68.788490017426341</v>
      </c>
      <c r="I51">
        <v>58.706022354485512</v>
      </c>
      <c r="J51">
        <v>0.48295423573591645</v>
      </c>
      <c r="K51">
        <v>17.003137623904195</v>
      </c>
      <c r="L51">
        <v>108.40397354403991</v>
      </c>
      <c r="M51">
        <v>103.39171008586746</v>
      </c>
      <c r="N51">
        <v>5</v>
      </c>
    </row>
    <row r="52" spans="1:14">
      <c r="A52" t="s">
        <v>33</v>
      </c>
      <c r="B52" t="s">
        <v>88</v>
      </c>
      <c r="C52" s="1" t="s">
        <v>113</v>
      </c>
      <c r="D52" s="1"/>
      <c r="E52" s="6" t="s">
        <v>120</v>
      </c>
      <c r="F52">
        <v>0.96133627112180253</v>
      </c>
      <c r="G52">
        <v>18.017795753185347</v>
      </c>
      <c r="H52">
        <v>92.879600778978642</v>
      </c>
      <c r="I52">
        <v>43.978994852749935</v>
      </c>
      <c r="J52">
        <v>0.43728866100165364</v>
      </c>
      <c r="K52">
        <v>19.323630536464208</v>
      </c>
      <c r="L52">
        <v>59.864140596331971</v>
      </c>
      <c r="M52">
        <v>1135.9102008285563</v>
      </c>
      <c r="N52">
        <v>5</v>
      </c>
    </row>
    <row r="53" spans="1:14">
      <c r="C53" s="1"/>
      <c r="D53" s="1"/>
    </row>
    <row r="54" spans="1:14">
      <c r="C54" s="7"/>
      <c r="D54" s="7"/>
    </row>
    <row r="55" spans="1:14">
      <c r="C55" s="7"/>
      <c r="D55" s="7"/>
    </row>
    <row r="56" spans="1:14">
      <c r="C56" s="7"/>
      <c r="D56" s="7"/>
    </row>
    <row r="57" spans="1:14">
      <c r="C57" s="7"/>
      <c r="D57" s="7"/>
    </row>
    <row r="58" spans="1:14">
      <c r="C58" s="7"/>
      <c r="D58" s="7"/>
      <c r="G58" s="1"/>
    </row>
    <row r="59" spans="1:14">
      <c r="C59" s="7"/>
      <c r="D59" s="7"/>
      <c r="G59" s="1"/>
    </row>
    <row r="60" spans="1:14">
      <c r="C60" s="7"/>
      <c r="D60" s="7"/>
      <c r="G60" s="1"/>
    </row>
    <row r="61" spans="1:14">
      <c r="C61" s="7"/>
      <c r="D61" s="7"/>
      <c r="G61" s="1"/>
    </row>
    <row r="62" spans="1:14">
      <c r="C62" s="7"/>
      <c r="D62" s="7"/>
      <c r="G62" s="1"/>
    </row>
    <row r="63" spans="1:14">
      <c r="C63" s="7"/>
      <c r="D63" s="7"/>
      <c r="G63" s="1"/>
    </row>
    <row r="64" spans="1:14">
      <c r="C64" s="7"/>
      <c r="D64" s="7"/>
      <c r="G64" s="1"/>
    </row>
    <row r="65" spans="3:7">
      <c r="C65" s="7"/>
      <c r="D65" s="7"/>
      <c r="E65" s="19"/>
      <c r="F65" s="19"/>
      <c r="G65" s="1"/>
    </row>
    <row r="66" spans="3:7">
      <c r="C66" s="7"/>
      <c r="D66" s="7"/>
      <c r="G66" s="1"/>
    </row>
    <row r="67" spans="3:7">
      <c r="C67" s="7"/>
      <c r="D67" s="7"/>
      <c r="G67" s="1"/>
    </row>
    <row r="68" spans="3:7">
      <c r="C68" s="7"/>
      <c r="D68" s="7"/>
      <c r="G68" s="1"/>
    </row>
    <row r="69" spans="3:7">
      <c r="C69" s="7"/>
      <c r="D69" s="7"/>
      <c r="G69" s="1"/>
    </row>
    <row r="70" spans="3:7">
      <c r="C70" s="7"/>
      <c r="D70" s="7"/>
      <c r="G70" s="1"/>
    </row>
    <row r="71" spans="3:7">
      <c r="C71" s="7"/>
      <c r="D71" s="7"/>
      <c r="G71" s="1"/>
    </row>
    <row r="72" spans="3:7">
      <c r="C72" s="7"/>
      <c r="D72" s="7"/>
      <c r="G72" s="1"/>
    </row>
    <row r="73" spans="3:7">
      <c r="C73" s="7"/>
      <c r="D73" s="7"/>
      <c r="G73" s="1"/>
    </row>
    <row r="74" spans="3:7">
      <c r="C74" s="7"/>
      <c r="D74" s="7"/>
      <c r="G74" s="1"/>
    </row>
    <row r="75" spans="3:7">
      <c r="C75" s="7"/>
      <c r="D75" s="7"/>
      <c r="G75" s="1"/>
    </row>
    <row r="76" spans="3:7">
      <c r="C76" s="7"/>
      <c r="D76" s="7"/>
      <c r="G76" s="1"/>
    </row>
    <row r="77" spans="3:7">
      <c r="C77" s="7"/>
      <c r="D77" s="7"/>
      <c r="G77" s="1"/>
    </row>
    <row r="78" spans="3:7">
      <c r="C78" s="7"/>
      <c r="D78" s="7"/>
      <c r="G78" s="1"/>
    </row>
    <row r="79" spans="3:7">
      <c r="C79" s="7"/>
      <c r="D79" s="7"/>
      <c r="G79" s="1"/>
    </row>
    <row r="80" spans="3:7">
      <c r="C80" s="7"/>
      <c r="D80" s="7"/>
      <c r="G80" s="1"/>
    </row>
    <row r="81" spans="3:7">
      <c r="C81" s="7"/>
      <c r="D81" s="7"/>
      <c r="G81" s="1"/>
    </row>
    <row r="82" spans="3:7">
      <c r="C82" s="7"/>
      <c r="D82" s="7"/>
      <c r="G82" s="1"/>
    </row>
    <row r="83" spans="3:7">
      <c r="C83" s="7"/>
      <c r="D83" s="7"/>
      <c r="G83" s="1"/>
    </row>
    <row r="84" spans="3:7">
      <c r="C84" s="7"/>
      <c r="D84" s="7"/>
      <c r="G84" s="1"/>
    </row>
    <row r="85" spans="3:7">
      <c r="C85" s="7"/>
      <c r="D85" s="7"/>
      <c r="G85" s="1"/>
    </row>
    <row r="86" spans="3:7">
      <c r="C86" s="7"/>
      <c r="D86" s="7"/>
      <c r="E86" s="19"/>
      <c r="F86" s="19"/>
      <c r="G86" s="1"/>
    </row>
    <row r="87" spans="3:7">
      <c r="C87" s="7"/>
      <c r="D87" s="7"/>
      <c r="G87" s="1"/>
    </row>
    <row r="88" spans="3:7">
      <c r="C88" s="7"/>
      <c r="D88" s="7"/>
      <c r="G88" s="1"/>
    </row>
  </sheetData>
  <mergeCells count="2">
    <mergeCell ref="E65:F65"/>
    <mergeCell ref="E86:F8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7547-7462-974B-B6A7-2E1E312B7BC2}">
  <dimension ref="A1:T40"/>
  <sheetViews>
    <sheetView zoomScale="125" workbookViewId="0">
      <selection activeCell="F1" sqref="F1"/>
    </sheetView>
  </sheetViews>
  <sheetFormatPr baseColWidth="10" defaultRowHeight="16"/>
  <cols>
    <col min="2" max="2" width="20.5" customWidth="1"/>
    <col min="15" max="15" width="15.1640625" customWidth="1"/>
    <col min="16" max="16" width="43.33203125" customWidth="1"/>
    <col min="17" max="17" width="10.6640625" customWidth="1"/>
  </cols>
  <sheetData>
    <row r="1" spans="1:20">
      <c r="A1" t="s">
        <v>32</v>
      </c>
      <c r="B1" t="s">
        <v>23</v>
      </c>
      <c r="C1" s="17" t="s">
        <v>190</v>
      </c>
      <c r="D1" t="s">
        <v>191</v>
      </c>
      <c r="E1" t="s">
        <v>59</v>
      </c>
      <c r="F1" t="s">
        <v>150</v>
      </c>
      <c r="G1" t="s">
        <v>114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s="18" t="s">
        <v>192</v>
      </c>
      <c r="Q1" t="s">
        <v>122</v>
      </c>
      <c r="R1" t="s">
        <v>128</v>
      </c>
      <c r="S1" t="s">
        <v>127</v>
      </c>
      <c r="T1" t="s">
        <v>124</v>
      </c>
    </row>
    <row r="2" spans="1:20">
      <c r="A2" t="s">
        <v>33</v>
      </c>
      <c r="B2" t="s">
        <v>18</v>
      </c>
      <c r="C2" s="18">
        <v>44475</v>
      </c>
      <c r="D2" s="3">
        <v>5</v>
      </c>
      <c r="E2" s="2" t="s">
        <v>4</v>
      </c>
      <c r="F2" s="2" t="s">
        <v>193</v>
      </c>
      <c r="G2">
        <v>1</v>
      </c>
      <c r="H2">
        <v>0.72368374488545484</v>
      </c>
      <c r="I2">
        <v>5.1239409469326826</v>
      </c>
      <c r="J2">
        <v>24.593890076209743</v>
      </c>
      <c r="K2">
        <v>51.382073750158312</v>
      </c>
      <c r="L2">
        <v>0.30552330966207991</v>
      </c>
      <c r="M2">
        <v>18.000350203003009</v>
      </c>
      <c r="N2">
        <v>18.908057017564776</v>
      </c>
      <c r="O2">
        <v>30.743648026756269</v>
      </c>
      <c r="P2" s="18">
        <v>5</v>
      </c>
      <c r="Q2">
        <v>1</v>
      </c>
      <c r="R2">
        <v>1</v>
      </c>
      <c r="S2">
        <v>1</v>
      </c>
    </row>
    <row r="3" spans="1:20">
      <c r="A3" t="s">
        <v>33</v>
      </c>
      <c r="B3" t="s">
        <v>15</v>
      </c>
      <c r="C3" s="18">
        <v>44491</v>
      </c>
      <c r="D3" s="3">
        <v>5</v>
      </c>
      <c r="E3" s="2" t="s">
        <v>1</v>
      </c>
      <c r="F3" s="2" t="s">
        <v>194</v>
      </c>
      <c r="G3">
        <v>1</v>
      </c>
      <c r="H3">
        <v>0.88656105008731589</v>
      </c>
      <c r="I3">
        <v>21.274117579071415</v>
      </c>
      <c r="J3">
        <v>34.826061251676549</v>
      </c>
      <c r="K3">
        <v>52.508533848807922</v>
      </c>
      <c r="L3">
        <v>0.21065496754629021</v>
      </c>
      <c r="M3">
        <v>24.521995784066746</v>
      </c>
      <c r="N3">
        <v>8.7833807384011191</v>
      </c>
      <c r="O3">
        <v>10.179775574037372</v>
      </c>
      <c r="P3" s="18">
        <v>44491</v>
      </c>
      <c r="Q3">
        <v>1</v>
      </c>
      <c r="R3">
        <v>1</v>
      </c>
      <c r="S3">
        <v>1</v>
      </c>
    </row>
    <row r="4" spans="1:20">
      <c r="A4" t="s">
        <v>33</v>
      </c>
      <c r="B4" t="s">
        <v>66</v>
      </c>
      <c r="C4" s="17">
        <v>44495</v>
      </c>
      <c r="D4" s="3">
        <v>5</v>
      </c>
      <c r="E4" s="1" t="s">
        <v>92</v>
      </c>
      <c r="F4" s="1" t="s">
        <v>194</v>
      </c>
      <c r="G4">
        <v>2</v>
      </c>
      <c r="H4">
        <v>0.81336733202131484</v>
      </c>
      <c r="I4">
        <v>21.186105772811882</v>
      </c>
      <c r="J4">
        <v>15.801180336692479</v>
      </c>
      <c r="K4" t="s">
        <v>121</v>
      </c>
      <c r="L4" t="s">
        <v>121</v>
      </c>
      <c r="M4" t="s">
        <v>121</v>
      </c>
      <c r="N4" t="s">
        <v>121</v>
      </c>
      <c r="O4" t="s">
        <v>121</v>
      </c>
      <c r="P4" s="17"/>
      <c r="Q4">
        <v>1</v>
      </c>
      <c r="R4">
        <v>1</v>
      </c>
      <c r="S4">
        <v>1</v>
      </c>
    </row>
    <row r="5" spans="1:20">
      <c r="A5" t="s">
        <v>33</v>
      </c>
      <c r="B5" t="s">
        <v>70</v>
      </c>
      <c r="C5" s="17">
        <v>44496</v>
      </c>
      <c r="D5" s="3">
        <v>5</v>
      </c>
      <c r="E5" s="1" t="s">
        <v>94</v>
      </c>
      <c r="F5" s="1" t="s">
        <v>194</v>
      </c>
      <c r="G5">
        <v>2</v>
      </c>
      <c r="H5">
        <v>0.87057806018547423</v>
      </c>
      <c r="I5">
        <v>16.354827881837799</v>
      </c>
      <c r="J5">
        <v>19.586506653739349</v>
      </c>
      <c r="K5" t="s">
        <v>121</v>
      </c>
      <c r="L5" t="s">
        <v>121</v>
      </c>
      <c r="M5" t="s">
        <v>121</v>
      </c>
      <c r="N5" t="s">
        <v>121</v>
      </c>
      <c r="O5" t="s">
        <v>121</v>
      </c>
      <c r="P5" s="17"/>
      <c r="Q5">
        <v>1</v>
      </c>
      <c r="R5">
        <v>1</v>
      </c>
      <c r="S5">
        <v>1</v>
      </c>
    </row>
    <row r="6" spans="1:20">
      <c r="A6" t="s">
        <v>33</v>
      </c>
      <c r="B6" t="s">
        <v>79</v>
      </c>
      <c r="C6" s="17">
        <v>44497</v>
      </c>
      <c r="D6" s="3">
        <v>5</v>
      </c>
      <c r="E6" s="1" t="s">
        <v>103</v>
      </c>
      <c r="F6" s="1" t="s">
        <v>194</v>
      </c>
      <c r="G6">
        <v>2</v>
      </c>
      <c r="H6">
        <v>0.82943994592263348</v>
      </c>
      <c r="I6">
        <v>9.1531551300475531</v>
      </c>
      <c r="J6">
        <v>32.173873045758981</v>
      </c>
      <c r="K6">
        <v>103.26174930766932</v>
      </c>
      <c r="L6">
        <v>0.22714613772822062</v>
      </c>
      <c r="M6">
        <v>9.9785579303476677</v>
      </c>
      <c r="N6">
        <v>9.8085980896599594</v>
      </c>
      <c r="O6">
        <v>20.539170496042239</v>
      </c>
      <c r="P6" s="17">
        <v>44497</v>
      </c>
      <c r="Q6">
        <v>1</v>
      </c>
      <c r="R6">
        <v>1</v>
      </c>
      <c r="S6">
        <v>1</v>
      </c>
    </row>
    <row r="7" spans="1:20">
      <c r="A7" t="s">
        <v>33</v>
      </c>
      <c r="B7" t="s">
        <v>10</v>
      </c>
      <c r="C7" s="17">
        <v>44526</v>
      </c>
      <c r="D7" s="3">
        <v>5</v>
      </c>
      <c r="E7" s="1" t="s">
        <v>116</v>
      </c>
      <c r="F7" s="1" t="s">
        <v>195</v>
      </c>
      <c r="G7">
        <v>1</v>
      </c>
      <c r="H7">
        <v>0.80580079156721263</v>
      </c>
      <c r="I7">
        <v>10.874727826601507</v>
      </c>
      <c r="J7">
        <v>38.925032797494872</v>
      </c>
      <c r="K7">
        <v>37.09827270225238</v>
      </c>
      <c r="L7">
        <v>0.27591285814979949</v>
      </c>
      <c r="M7">
        <v>18.322747332495339</v>
      </c>
      <c r="N7">
        <v>44.210126018127731</v>
      </c>
      <c r="O7">
        <v>86.44551374776627</v>
      </c>
      <c r="P7" s="17">
        <v>44526</v>
      </c>
      <c r="Q7">
        <v>4</v>
      </c>
      <c r="R7" t="s">
        <v>130</v>
      </c>
      <c r="S7">
        <f>(4*1)/1</f>
        <v>4</v>
      </c>
    </row>
    <row r="8" spans="1:20">
      <c r="A8" t="s">
        <v>33</v>
      </c>
      <c r="B8" t="s">
        <v>13</v>
      </c>
      <c r="C8" s="18">
        <v>44527</v>
      </c>
      <c r="D8" s="3">
        <v>5</v>
      </c>
      <c r="E8" s="2" t="s">
        <v>119</v>
      </c>
      <c r="F8" s="1" t="s">
        <v>195</v>
      </c>
      <c r="G8">
        <v>1</v>
      </c>
      <c r="H8">
        <v>0.84973561934755426</v>
      </c>
      <c r="I8">
        <v>10.471283552733373</v>
      </c>
      <c r="J8">
        <v>45.514254168321237</v>
      </c>
      <c r="K8">
        <v>37.130635802367529</v>
      </c>
      <c r="L8">
        <v>0.24353026866796124</v>
      </c>
      <c r="M8">
        <v>17.220231271854207</v>
      </c>
      <c r="N8">
        <v>9.3829871741436826</v>
      </c>
      <c r="O8">
        <v>11.240396518217807</v>
      </c>
      <c r="P8" s="18">
        <v>44527</v>
      </c>
      <c r="Q8">
        <v>5</v>
      </c>
      <c r="R8" t="s">
        <v>133</v>
      </c>
      <c r="S8">
        <f>(1*5)/5</f>
        <v>1</v>
      </c>
    </row>
    <row r="9" spans="1:20">
      <c r="A9" t="s">
        <v>33</v>
      </c>
      <c r="B9" t="s">
        <v>77</v>
      </c>
      <c r="C9" s="17">
        <v>44528</v>
      </c>
      <c r="D9" s="3">
        <v>5</v>
      </c>
      <c r="E9" s="1" t="s">
        <v>101</v>
      </c>
      <c r="F9" s="1" t="s">
        <v>195</v>
      </c>
      <c r="G9">
        <v>2</v>
      </c>
      <c r="H9">
        <v>0.9162235079877068</v>
      </c>
      <c r="I9">
        <v>24.545744470135475</v>
      </c>
      <c r="J9">
        <v>61.937779563104371</v>
      </c>
      <c r="K9">
        <v>173.89847383049559</v>
      </c>
      <c r="L9">
        <v>1.0827120164312798</v>
      </c>
      <c r="M9">
        <v>19.315274981928059</v>
      </c>
      <c r="N9">
        <v>136.73734233042214</v>
      </c>
      <c r="O9">
        <v>156.07035135394165</v>
      </c>
      <c r="P9" s="17">
        <v>44528</v>
      </c>
      <c r="Q9">
        <v>5</v>
      </c>
      <c r="R9" t="s">
        <v>133</v>
      </c>
      <c r="S9">
        <v>1</v>
      </c>
    </row>
    <row r="10" spans="1:20">
      <c r="A10" t="s">
        <v>33</v>
      </c>
      <c r="B10" t="s">
        <v>20</v>
      </c>
      <c r="C10" s="18">
        <v>44529</v>
      </c>
      <c r="D10" s="3">
        <v>5</v>
      </c>
      <c r="E10" s="2" t="s">
        <v>6</v>
      </c>
      <c r="F10" s="1" t="s">
        <v>195</v>
      </c>
      <c r="G10">
        <v>1</v>
      </c>
      <c r="H10">
        <v>1.2222271505973339</v>
      </c>
      <c r="I10">
        <v>11.038185180700172</v>
      </c>
      <c r="J10">
        <v>48.536706315537195</v>
      </c>
      <c r="K10">
        <v>96.735988018993396</v>
      </c>
      <c r="L10">
        <v>0.29030406206297854</v>
      </c>
      <c r="M10">
        <v>10.660638353397356</v>
      </c>
      <c r="N10">
        <v>32.022127097341219</v>
      </c>
      <c r="O10">
        <v>24.357999230689543</v>
      </c>
      <c r="P10" s="18">
        <v>44529</v>
      </c>
      <c r="Q10">
        <v>3</v>
      </c>
      <c r="R10" t="s">
        <v>137</v>
      </c>
      <c r="S10">
        <f>((3)+(2*2))/Q10</f>
        <v>2.3333333333333335</v>
      </c>
    </row>
    <row r="11" spans="1:20">
      <c r="A11" t="s">
        <v>33</v>
      </c>
      <c r="B11" t="s">
        <v>76</v>
      </c>
      <c r="C11" s="17">
        <v>44530</v>
      </c>
      <c r="D11" s="3">
        <v>5</v>
      </c>
      <c r="E11" s="1" t="s">
        <v>100</v>
      </c>
      <c r="F11" s="1" t="s">
        <v>195</v>
      </c>
      <c r="G11">
        <v>2</v>
      </c>
      <c r="H11">
        <v>0.86536802145215086</v>
      </c>
      <c r="I11">
        <v>20.795897804959665</v>
      </c>
      <c r="J11">
        <v>61.336338232269597</v>
      </c>
      <c r="K11">
        <v>77.776681989483095</v>
      </c>
      <c r="L11">
        <v>0.32887870460706831</v>
      </c>
      <c r="M11">
        <v>21.817958441671976</v>
      </c>
      <c r="N11">
        <v>63.694457909015462</v>
      </c>
      <c r="O11">
        <v>121.65943856354582</v>
      </c>
      <c r="P11" s="17">
        <v>44530</v>
      </c>
      <c r="Q11">
        <v>10</v>
      </c>
      <c r="R11" t="s">
        <v>140</v>
      </c>
      <c r="S11">
        <f>(1*10)/Q11</f>
        <v>1</v>
      </c>
    </row>
    <row r="12" spans="1:20">
      <c r="A12" t="s">
        <v>33</v>
      </c>
      <c r="B12" t="s">
        <v>67</v>
      </c>
      <c r="C12" s="17">
        <v>44531</v>
      </c>
      <c r="D12" s="3">
        <v>5</v>
      </c>
      <c r="E12" s="1" t="s">
        <v>93</v>
      </c>
      <c r="F12" s="1" t="s">
        <v>195</v>
      </c>
      <c r="G12">
        <v>2</v>
      </c>
      <c r="H12">
        <v>0.77073714592290399</v>
      </c>
      <c r="I12">
        <v>18.418874611647716</v>
      </c>
      <c r="J12">
        <v>43.484155321149728</v>
      </c>
      <c r="K12" t="s">
        <v>121</v>
      </c>
      <c r="L12" t="s">
        <v>121</v>
      </c>
      <c r="M12" t="s">
        <v>121</v>
      </c>
      <c r="N12" t="s">
        <v>121</v>
      </c>
      <c r="O12" t="s">
        <v>121</v>
      </c>
      <c r="P12" s="17"/>
      <c r="Q12">
        <v>3</v>
      </c>
      <c r="R12" t="s">
        <v>139</v>
      </c>
      <c r="S12">
        <f>((3*1)+(1*2))/Q12</f>
        <v>1.6666666666666667</v>
      </c>
    </row>
    <row r="13" spans="1:20">
      <c r="A13" t="s">
        <v>33</v>
      </c>
      <c r="B13" t="s">
        <v>78</v>
      </c>
      <c r="C13" s="17">
        <v>44532</v>
      </c>
      <c r="D13" s="3">
        <v>5</v>
      </c>
      <c r="E13" s="1" t="s">
        <v>102</v>
      </c>
      <c r="F13" s="1" t="s">
        <v>195</v>
      </c>
      <c r="G13">
        <v>2</v>
      </c>
      <c r="H13">
        <v>0.8763828636338783</v>
      </c>
      <c r="I13">
        <v>12.79266909986408</v>
      </c>
      <c r="J13">
        <v>44.383724815034029</v>
      </c>
      <c r="K13">
        <v>48.063124119531857</v>
      </c>
      <c r="L13">
        <v>0.25528721534446464</v>
      </c>
      <c r="M13">
        <v>27.042002636147195</v>
      </c>
      <c r="N13">
        <v>16.096262547244134</v>
      </c>
      <c r="O13">
        <v>35.592166881550789</v>
      </c>
      <c r="P13" s="17">
        <v>44532</v>
      </c>
      <c r="Q13">
        <v>6</v>
      </c>
      <c r="R13" t="s">
        <v>138</v>
      </c>
      <c r="S13">
        <v>1</v>
      </c>
    </row>
    <row r="14" spans="1:20">
      <c r="A14" t="s">
        <v>33</v>
      </c>
      <c r="B14" t="s">
        <v>88</v>
      </c>
      <c r="C14" s="17">
        <v>44534</v>
      </c>
      <c r="D14" s="3">
        <v>5</v>
      </c>
      <c r="E14" s="1" t="s">
        <v>113</v>
      </c>
      <c r="F14" s="1" t="s">
        <v>195</v>
      </c>
      <c r="G14">
        <v>2</v>
      </c>
      <c r="H14">
        <v>0.96133627112180253</v>
      </c>
      <c r="I14">
        <v>18.017795753185347</v>
      </c>
      <c r="J14">
        <v>92.879600778978642</v>
      </c>
      <c r="K14">
        <v>43.978994852749935</v>
      </c>
      <c r="L14">
        <v>0.43728866100165364</v>
      </c>
      <c r="M14">
        <v>19.323630536464208</v>
      </c>
      <c r="N14">
        <v>59.864140596331971</v>
      </c>
      <c r="O14">
        <v>1135.9102008285563</v>
      </c>
      <c r="P14" s="17">
        <v>44534</v>
      </c>
      <c r="Q14">
        <v>28</v>
      </c>
      <c r="R14" t="s">
        <v>148</v>
      </c>
      <c r="S14">
        <f>((2*5)+(1*3)+(3*20))/Q14</f>
        <v>2.6071428571428572</v>
      </c>
      <c r="T14" t="s">
        <v>123</v>
      </c>
    </row>
    <row r="15" spans="1:20">
      <c r="A15" t="s">
        <v>33</v>
      </c>
      <c r="B15" t="s">
        <v>12</v>
      </c>
      <c r="C15" s="18">
        <v>44535</v>
      </c>
      <c r="D15" s="3">
        <v>5</v>
      </c>
      <c r="E15" s="2" t="s">
        <v>118</v>
      </c>
      <c r="F15" s="1" t="s">
        <v>195</v>
      </c>
      <c r="G15">
        <v>1</v>
      </c>
      <c r="H15">
        <v>0.87932182745812371</v>
      </c>
      <c r="I15">
        <v>15.618258396167157</v>
      </c>
      <c r="J15">
        <v>64.022076659602547</v>
      </c>
      <c r="K15">
        <v>37.024975322509512</v>
      </c>
      <c r="L15">
        <v>0.2696689918686821</v>
      </c>
      <c r="M15">
        <v>17.070944140937719</v>
      </c>
      <c r="N15">
        <v>41.704638382757388</v>
      </c>
      <c r="O15">
        <v>47.584717245536574</v>
      </c>
      <c r="P15" s="18">
        <v>44535</v>
      </c>
      <c r="Q15">
        <v>9</v>
      </c>
      <c r="R15" t="s">
        <v>132</v>
      </c>
      <c r="S15">
        <f>((5*4)+(4*2)+(1*2)+2)/Q15</f>
        <v>3.5555555555555554</v>
      </c>
    </row>
    <row r="16" spans="1:20">
      <c r="A16" t="s">
        <v>33</v>
      </c>
      <c r="B16" t="s">
        <v>87</v>
      </c>
      <c r="C16" s="17">
        <v>44539</v>
      </c>
      <c r="D16" s="3">
        <v>5</v>
      </c>
      <c r="E16" s="1" t="s">
        <v>112</v>
      </c>
      <c r="F16" s="1" t="s">
        <v>195</v>
      </c>
      <c r="G16">
        <v>2</v>
      </c>
      <c r="H16">
        <v>0.91621224397381784</v>
      </c>
      <c r="I16">
        <v>25.058629677997317</v>
      </c>
      <c r="J16">
        <v>68.788490017426341</v>
      </c>
      <c r="K16">
        <v>58.706022354485512</v>
      </c>
      <c r="L16">
        <v>0.48295423573591645</v>
      </c>
      <c r="M16">
        <v>17.003137623904195</v>
      </c>
      <c r="N16">
        <v>108.40397354403991</v>
      </c>
      <c r="O16">
        <v>103.39171008586746</v>
      </c>
      <c r="P16" s="17">
        <v>44539</v>
      </c>
      <c r="Q16">
        <v>19</v>
      </c>
      <c r="R16" t="s">
        <v>147</v>
      </c>
      <c r="S16">
        <f>((1*8)+(2*6)+(4*2)+(5)+(3*2))/19</f>
        <v>2.0526315789473686</v>
      </c>
      <c r="T16" t="s">
        <v>123</v>
      </c>
    </row>
    <row r="17" spans="1:20">
      <c r="A17" t="s">
        <v>33</v>
      </c>
      <c r="B17" t="s">
        <v>86</v>
      </c>
      <c r="C17" s="17">
        <v>44538</v>
      </c>
      <c r="D17" s="3">
        <v>5</v>
      </c>
      <c r="E17" s="1" t="s">
        <v>111</v>
      </c>
      <c r="F17" s="1" t="s">
        <v>195</v>
      </c>
      <c r="G17">
        <v>2</v>
      </c>
      <c r="H17">
        <v>0.95693048723895513</v>
      </c>
      <c r="I17">
        <v>17.080523833436768</v>
      </c>
      <c r="J17">
        <v>73.156940447001503</v>
      </c>
      <c r="K17">
        <v>29.573130556837636</v>
      </c>
      <c r="L17">
        <v>0.3797858517718064</v>
      </c>
      <c r="M17">
        <v>16.380057403292973</v>
      </c>
      <c r="N17">
        <v>38.341861069609458</v>
      </c>
      <c r="O17">
        <v>66.97128896449189</v>
      </c>
      <c r="P17" s="17">
        <v>44538</v>
      </c>
      <c r="Q17">
        <v>13</v>
      </c>
      <c r="R17" t="s">
        <v>146</v>
      </c>
      <c r="S17">
        <v>1</v>
      </c>
      <c r="T17" t="s">
        <v>125</v>
      </c>
    </row>
    <row r="18" spans="1:20">
      <c r="A18" t="s">
        <v>33</v>
      </c>
      <c r="B18" t="s">
        <v>9</v>
      </c>
      <c r="C18" s="17">
        <v>44539</v>
      </c>
      <c r="D18" s="3">
        <v>5</v>
      </c>
      <c r="E18" s="1" t="s">
        <v>115</v>
      </c>
      <c r="F18" s="1" t="s">
        <v>196</v>
      </c>
      <c r="G18">
        <v>1</v>
      </c>
      <c r="H18">
        <v>0.80933442637431929</v>
      </c>
      <c r="I18">
        <v>8.5803896552124019</v>
      </c>
      <c r="J18">
        <v>349.33938408922165</v>
      </c>
      <c r="K18">
        <v>27.134223195237617</v>
      </c>
      <c r="L18">
        <v>0.96107202444760242</v>
      </c>
      <c r="M18">
        <v>24.006529318345894</v>
      </c>
      <c r="N18">
        <v>23.481281407349556</v>
      </c>
      <c r="O18">
        <v>37.824234563318797</v>
      </c>
      <c r="P18" s="17">
        <v>44539</v>
      </c>
      <c r="Q18">
        <v>4</v>
      </c>
      <c r="R18" t="s">
        <v>129</v>
      </c>
      <c r="S18">
        <f>(1*4)/4</f>
        <v>1</v>
      </c>
    </row>
    <row r="19" spans="1:20">
      <c r="A19" t="s">
        <v>33</v>
      </c>
      <c r="B19" t="s">
        <v>11</v>
      </c>
      <c r="C19" s="18">
        <v>44543</v>
      </c>
      <c r="D19" s="3">
        <v>5</v>
      </c>
      <c r="E19" s="2" t="s">
        <v>117</v>
      </c>
      <c r="F19" s="1" t="s">
        <v>196</v>
      </c>
      <c r="G19">
        <v>1</v>
      </c>
      <c r="H19">
        <v>0.78902058669226527</v>
      </c>
      <c r="I19">
        <v>21.85266026837348</v>
      </c>
      <c r="J19">
        <v>486.48239756691532</v>
      </c>
      <c r="K19">
        <v>42.10435597115773</v>
      </c>
      <c r="L19">
        <v>1.0102772948184773</v>
      </c>
      <c r="M19">
        <v>28.939842343182082</v>
      </c>
      <c r="N19">
        <v>199.02388947971676</v>
      </c>
      <c r="O19">
        <v>192.53405332023902</v>
      </c>
      <c r="P19" s="18">
        <v>44543</v>
      </c>
      <c r="Q19">
        <v>7</v>
      </c>
      <c r="R19" t="s">
        <v>131</v>
      </c>
      <c r="S19">
        <f>((3*3)+(2*1)+(5)+(4*2))/7</f>
        <v>3.4285714285714284</v>
      </c>
    </row>
    <row r="20" spans="1:20">
      <c r="A20" t="s">
        <v>33</v>
      </c>
      <c r="B20" t="s">
        <v>82</v>
      </c>
      <c r="C20" s="17">
        <v>44544</v>
      </c>
      <c r="D20" s="3">
        <v>5</v>
      </c>
      <c r="E20" s="1" t="s">
        <v>107</v>
      </c>
      <c r="F20" s="1" t="s">
        <v>196</v>
      </c>
      <c r="G20">
        <v>2</v>
      </c>
      <c r="H20">
        <v>0.93919756584407754</v>
      </c>
      <c r="I20">
        <v>22.187098222622993</v>
      </c>
      <c r="J20">
        <v>232.81284658384095</v>
      </c>
      <c r="K20">
        <v>40.850015817504392</v>
      </c>
      <c r="L20">
        <v>0.66836608660612418</v>
      </c>
      <c r="M20">
        <v>25.3112561871514</v>
      </c>
      <c r="N20">
        <v>70.140545151448066</v>
      </c>
      <c r="O20">
        <v>70.280899721910259</v>
      </c>
      <c r="P20" s="17">
        <v>44544</v>
      </c>
      <c r="Q20">
        <v>10</v>
      </c>
      <c r="R20" t="s">
        <v>143</v>
      </c>
      <c r="S20">
        <f>((1*4)+(2*6))/10</f>
        <v>1.6</v>
      </c>
      <c r="T20" t="s">
        <v>123</v>
      </c>
    </row>
    <row r="21" spans="1:20">
      <c r="A21" t="s">
        <v>33</v>
      </c>
      <c r="B21" t="s">
        <v>85</v>
      </c>
      <c r="C21" s="17">
        <v>44546</v>
      </c>
      <c r="D21" s="3">
        <v>5</v>
      </c>
      <c r="E21" s="1" t="s">
        <v>110</v>
      </c>
      <c r="F21" s="1" t="s">
        <v>196</v>
      </c>
      <c r="G21">
        <v>2</v>
      </c>
      <c r="H21">
        <v>0.90619233447163783</v>
      </c>
      <c r="I21">
        <v>60.278407692382387</v>
      </c>
      <c r="J21">
        <v>289.48893995925721</v>
      </c>
      <c r="K21">
        <v>92.398845717450115</v>
      </c>
      <c r="L21">
        <v>0.71666422027219223</v>
      </c>
      <c r="M21">
        <v>18.511438084366794</v>
      </c>
      <c r="N21">
        <v>68.829706823466779</v>
      </c>
      <c r="O21">
        <v>106.88888921316737</v>
      </c>
      <c r="P21" s="17">
        <v>44546</v>
      </c>
      <c r="Q21">
        <v>14</v>
      </c>
      <c r="R21" t="s">
        <v>144</v>
      </c>
      <c r="S21">
        <f>((5*1)+(1*3)+(2*10))/Q21</f>
        <v>2</v>
      </c>
      <c r="T21" t="s">
        <v>123</v>
      </c>
    </row>
    <row r="22" spans="1:20">
      <c r="A22" t="s">
        <v>33</v>
      </c>
      <c r="B22" t="s">
        <v>84</v>
      </c>
      <c r="C22" s="17">
        <v>44545</v>
      </c>
      <c r="D22" s="3">
        <v>5</v>
      </c>
      <c r="E22" s="1" t="s">
        <v>109</v>
      </c>
      <c r="F22" s="1" t="s">
        <v>196</v>
      </c>
      <c r="G22">
        <v>2</v>
      </c>
      <c r="H22">
        <v>0.90431285410188522</v>
      </c>
      <c r="I22">
        <v>27.000145839646486</v>
      </c>
      <c r="J22">
        <v>184.55978829978042</v>
      </c>
      <c r="K22">
        <v>35.304299846378434</v>
      </c>
      <c r="L22">
        <v>0.62191082466464265</v>
      </c>
      <c r="M22">
        <v>16.860920307063587</v>
      </c>
      <c r="N22">
        <v>46.7958548160343</v>
      </c>
      <c r="O22">
        <v>183.7360895710282</v>
      </c>
      <c r="P22" s="17">
        <v>44545</v>
      </c>
      <c r="Q22">
        <v>14</v>
      </c>
      <c r="R22" t="s">
        <v>145</v>
      </c>
      <c r="S22">
        <f>((2*7)+(1*6)+(3*1))/14</f>
        <v>1.6428571428571428</v>
      </c>
      <c r="T22" t="s">
        <v>123</v>
      </c>
    </row>
    <row r="23" spans="1:20">
      <c r="A23" t="s">
        <v>33</v>
      </c>
      <c r="B23" t="s">
        <v>83</v>
      </c>
      <c r="C23" s="17">
        <v>44549</v>
      </c>
      <c r="D23" s="3">
        <v>5</v>
      </c>
      <c r="E23" s="1" t="s">
        <v>108</v>
      </c>
      <c r="F23" s="1" t="s">
        <v>196</v>
      </c>
      <c r="G23">
        <v>2</v>
      </c>
      <c r="H23">
        <v>0.83825396406271191</v>
      </c>
      <c r="I23">
        <v>79.565372082083343</v>
      </c>
      <c r="J23">
        <v>310.58409849330383</v>
      </c>
      <c r="K23">
        <v>51.97966949576584</v>
      </c>
      <c r="L23">
        <v>1.187180700809771</v>
      </c>
      <c r="M23">
        <v>51.782563142503037</v>
      </c>
      <c r="N23">
        <v>386.60748366088694</v>
      </c>
      <c r="O23">
        <v>588.26064575105306</v>
      </c>
      <c r="P23" s="17">
        <v>44549</v>
      </c>
      <c r="Q23">
        <v>22</v>
      </c>
      <c r="R23" t="s">
        <v>149</v>
      </c>
      <c r="S23">
        <v>2</v>
      </c>
      <c r="T23" t="s">
        <v>123</v>
      </c>
    </row>
    <row r="24" spans="1:20">
      <c r="A24" t="s">
        <v>33</v>
      </c>
      <c r="B24" t="s">
        <v>19</v>
      </c>
      <c r="C24" s="18">
        <v>44572</v>
      </c>
      <c r="D24" s="3">
        <v>5</v>
      </c>
      <c r="E24" s="2" t="s">
        <v>5</v>
      </c>
      <c r="F24" s="2" t="s">
        <v>197</v>
      </c>
      <c r="G24">
        <v>1</v>
      </c>
      <c r="H24">
        <v>0.96161313509105339</v>
      </c>
      <c r="I24">
        <v>23.964656258597035</v>
      </c>
      <c r="J24">
        <v>469.12717995209761</v>
      </c>
      <c r="K24">
        <v>41.903309867642157</v>
      </c>
      <c r="L24">
        <v>0.63607330014090313</v>
      </c>
      <c r="M24">
        <v>9.1039868773002333</v>
      </c>
      <c r="N24">
        <v>125.28663377666911</v>
      </c>
      <c r="O24">
        <v>170.20697097150486</v>
      </c>
      <c r="P24" s="18">
        <v>44572</v>
      </c>
      <c r="Q24">
        <v>8</v>
      </c>
      <c r="R24" t="s">
        <v>136</v>
      </c>
      <c r="S24">
        <f>((3*5)+(1*1)+(4*2))/Q24</f>
        <v>3</v>
      </c>
    </row>
    <row r="25" spans="1:20">
      <c r="A25" t="s">
        <v>33</v>
      </c>
      <c r="B25" t="s">
        <v>17</v>
      </c>
      <c r="C25" s="18">
        <v>44589</v>
      </c>
      <c r="D25" s="3">
        <v>5</v>
      </c>
      <c r="E25" s="2" t="s">
        <v>3</v>
      </c>
      <c r="F25" s="2" t="s">
        <v>198</v>
      </c>
      <c r="G25">
        <v>1</v>
      </c>
      <c r="H25">
        <v>0.80702183651452364</v>
      </c>
      <c r="I25">
        <v>10.455680618415109</v>
      </c>
      <c r="J25">
        <v>178.87378354518839</v>
      </c>
      <c r="K25">
        <v>40.299038984451677</v>
      </c>
      <c r="L25">
        <v>0.27233494334137037</v>
      </c>
      <c r="M25">
        <v>7.8353679661454105</v>
      </c>
      <c r="N25">
        <v>9.4100335939093522</v>
      </c>
      <c r="O25">
        <v>13.389546649879703</v>
      </c>
      <c r="P25" s="18">
        <v>44589</v>
      </c>
      <c r="Q25">
        <v>7</v>
      </c>
      <c r="R25" t="s">
        <v>135</v>
      </c>
      <c r="S25">
        <f>((5*2)+(4*2)+(3*3))/Q25</f>
        <v>3.8571428571428572</v>
      </c>
    </row>
    <row r="26" spans="1:20">
      <c r="A26" t="s">
        <v>33</v>
      </c>
      <c r="B26" t="s">
        <v>22</v>
      </c>
      <c r="C26" s="18">
        <v>44603</v>
      </c>
      <c r="D26" s="3">
        <v>5</v>
      </c>
      <c r="E26" s="2" t="s">
        <v>8</v>
      </c>
      <c r="F26" s="2" t="s">
        <v>199</v>
      </c>
      <c r="G26">
        <v>1</v>
      </c>
      <c r="H26">
        <v>0.92188121713274906</v>
      </c>
      <c r="I26">
        <v>42.027593789363983</v>
      </c>
      <c r="J26">
        <v>186.15008319723404</v>
      </c>
      <c r="K26">
        <v>39.633014680025624</v>
      </c>
      <c r="L26">
        <v>0.32814841295460101</v>
      </c>
      <c r="M26">
        <v>11.031716815464861</v>
      </c>
      <c r="N26">
        <v>105.33504986099311</v>
      </c>
      <c r="O26">
        <v>122.79761862196219</v>
      </c>
      <c r="P26" s="18">
        <v>44603</v>
      </c>
      <c r="Q26">
        <v>1</v>
      </c>
      <c r="R26">
        <v>1</v>
      </c>
      <c r="S26">
        <v>1</v>
      </c>
    </row>
    <row r="27" spans="1:20">
      <c r="A27" t="s">
        <v>33</v>
      </c>
      <c r="B27" t="s">
        <v>71</v>
      </c>
      <c r="C27" s="17">
        <v>44606</v>
      </c>
      <c r="D27" s="3">
        <v>5</v>
      </c>
      <c r="E27" s="1" t="s">
        <v>95</v>
      </c>
      <c r="F27" s="1" t="s">
        <v>199</v>
      </c>
      <c r="G27">
        <v>2</v>
      </c>
      <c r="H27">
        <v>0.76182168425168695</v>
      </c>
      <c r="I27">
        <v>49.075023070080348</v>
      </c>
      <c r="J27">
        <v>139.64951763061828</v>
      </c>
      <c r="K27" t="s">
        <v>121</v>
      </c>
      <c r="L27" t="s">
        <v>121</v>
      </c>
      <c r="M27" t="s">
        <v>121</v>
      </c>
      <c r="N27" t="s">
        <v>121</v>
      </c>
      <c r="O27" t="s">
        <v>121</v>
      </c>
      <c r="P27" s="17"/>
      <c r="Q27">
        <v>1</v>
      </c>
      <c r="R27">
        <v>5</v>
      </c>
      <c r="S27">
        <v>5</v>
      </c>
    </row>
    <row r="28" spans="1:20">
      <c r="A28" t="s">
        <v>33</v>
      </c>
      <c r="B28" t="s">
        <v>72</v>
      </c>
      <c r="C28" s="17">
        <v>44607</v>
      </c>
      <c r="D28" s="3">
        <v>5</v>
      </c>
      <c r="E28" s="1" t="s">
        <v>96</v>
      </c>
      <c r="F28" s="1" t="s">
        <v>199</v>
      </c>
      <c r="G28">
        <v>2</v>
      </c>
      <c r="H28">
        <v>0.89073325978086304</v>
      </c>
      <c r="I28">
        <v>26.297978147991028</v>
      </c>
      <c r="J28">
        <v>83.555030132529765</v>
      </c>
      <c r="K28">
        <v>52.635236342296423</v>
      </c>
      <c r="L28">
        <v>0.48012222161367712</v>
      </c>
      <c r="M28">
        <v>13.560878679756133</v>
      </c>
      <c r="N28">
        <v>159.00437811922646</v>
      </c>
      <c r="O28">
        <v>201.55003627239822</v>
      </c>
      <c r="P28" s="17">
        <v>44607</v>
      </c>
      <c r="Q28">
        <v>1</v>
      </c>
      <c r="R28">
        <v>1</v>
      </c>
      <c r="S28">
        <v>1</v>
      </c>
    </row>
    <row r="29" spans="1:20">
      <c r="A29" t="s">
        <v>33</v>
      </c>
      <c r="B29" t="s">
        <v>16</v>
      </c>
      <c r="C29" s="18">
        <v>44608</v>
      </c>
      <c r="D29" s="3">
        <v>5</v>
      </c>
      <c r="E29" s="2" t="s">
        <v>2</v>
      </c>
      <c r="F29" s="2" t="s">
        <v>199</v>
      </c>
      <c r="G29">
        <v>1</v>
      </c>
      <c r="H29">
        <v>0.9279084140152204</v>
      </c>
      <c r="I29">
        <v>48.102592972145246</v>
      </c>
      <c r="J29">
        <v>219.37686437793496</v>
      </c>
      <c r="K29">
        <v>57.652621836731157</v>
      </c>
      <c r="L29">
        <v>0.5398836848281815</v>
      </c>
      <c r="M29">
        <v>9.9502613620541265</v>
      </c>
      <c r="N29">
        <v>112.65266362091219</v>
      </c>
      <c r="O29">
        <v>91.912710611649771</v>
      </c>
      <c r="P29" s="18">
        <v>44608</v>
      </c>
      <c r="Q29">
        <v>2</v>
      </c>
      <c r="R29" t="s">
        <v>134</v>
      </c>
      <c r="S29">
        <v>1</v>
      </c>
    </row>
    <row r="30" spans="1:20">
      <c r="A30" t="s">
        <v>33</v>
      </c>
      <c r="B30" t="s">
        <v>81</v>
      </c>
      <c r="C30" s="17">
        <v>44612</v>
      </c>
      <c r="D30" s="3">
        <v>5</v>
      </c>
      <c r="E30" s="1" t="s">
        <v>106</v>
      </c>
      <c r="F30" s="1" t="s">
        <v>199</v>
      </c>
      <c r="G30">
        <v>2</v>
      </c>
      <c r="H30">
        <v>1.029700689141007</v>
      </c>
      <c r="I30">
        <v>13.487810021148949</v>
      </c>
      <c r="J30">
        <v>180.02756940358057</v>
      </c>
      <c r="K30">
        <v>52.982528683786938</v>
      </c>
      <c r="L30">
        <v>0.70355394004385652</v>
      </c>
      <c r="M30">
        <v>11.931708235258521</v>
      </c>
      <c r="N30">
        <v>110.58649355921455</v>
      </c>
      <c r="O30">
        <v>93.972518031999115</v>
      </c>
      <c r="P30" s="17">
        <v>44612</v>
      </c>
      <c r="Q30">
        <v>1</v>
      </c>
      <c r="S30">
        <v>1</v>
      </c>
    </row>
    <row r="31" spans="1:20">
      <c r="A31" t="s">
        <v>33</v>
      </c>
      <c r="B31" t="s">
        <v>74</v>
      </c>
      <c r="C31" s="17">
        <v>44619</v>
      </c>
      <c r="D31" s="3">
        <v>5</v>
      </c>
      <c r="E31" s="1" t="s">
        <v>98</v>
      </c>
      <c r="F31" s="1" t="s">
        <v>200</v>
      </c>
      <c r="G31">
        <v>2</v>
      </c>
      <c r="H31">
        <v>0.89366146204626984</v>
      </c>
      <c r="I31">
        <v>16.726709874350476</v>
      </c>
      <c r="J31">
        <v>181.52054191546878</v>
      </c>
      <c r="K31">
        <v>43.197281943272245</v>
      </c>
      <c r="L31">
        <v>0.33262348710927125</v>
      </c>
      <c r="M31">
        <v>11.767537332380073</v>
      </c>
      <c r="N31">
        <v>21.7520704421615</v>
      </c>
      <c r="O31">
        <v>26.353884770157411</v>
      </c>
      <c r="P31" s="17">
        <v>44619</v>
      </c>
      <c r="Q31">
        <v>1</v>
      </c>
      <c r="R31">
        <v>1</v>
      </c>
      <c r="S31">
        <v>1</v>
      </c>
    </row>
    <row r="32" spans="1:20">
      <c r="A32" t="s">
        <v>33</v>
      </c>
      <c r="B32" t="s">
        <v>75</v>
      </c>
      <c r="C32" s="17">
        <v>44620</v>
      </c>
      <c r="D32" s="3">
        <v>5</v>
      </c>
      <c r="E32" s="1" t="s">
        <v>99</v>
      </c>
      <c r="F32" s="1" t="s">
        <v>200</v>
      </c>
      <c r="G32">
        <v>2</v>
      </c>
      <c r="H32">
        <v>0.88084948543585173</v>
      </c>
      <c r="I32">
        <v>28.204916533395153</v>
      </c>
      <c r="J32">
        <v>289.46023750181877</v>
      </c>
      <c r="K32">
        <v>53.705645309763199</v>
      </c>
      <c r="L32">
        <v>0.44298927093214113</v>
      </c>
      <c r="M32">
        <v>11.393132915155682</v>
      </c>
      <c r="N32">
        <v>41.78102589694803</v>
      </c>
      <c r="O32">
        <v>111.76200703682701</v>
      </c>
      <c r="P32" s="17">
        <v>44620</v>
      </c>
      <c r="Q32">
        <v>1</v>
      </c>
      <c r="R32">
        <v>1</v>
      </c>
      <c r="S32">
        <v>1</v>
      </c>
    </row>
    <row r="33" spans="1:19">
      <c r="A33" t="s">
        <v>33</v>
      </c>
      <c r="B33" t="s">
        <v>65</v>
      </c>
      <c r="C33" s="17">
        <v>44622</v>
      </c>
      <c r="D33" s="3">
        <v>5</v>
      </c>
      <c r="E33" s="1" t="s">
        <v>89</v>
      </c>
      <c r="F33" s="1" t="s">
        <v>200</v>
      </c>
      <c r="G33">
        <v>2</v>
      </c>
      <c r="H33">
        <v>0.72199635922676897</v>
      </c>
      <c r="I33">
        <v>27.097383191755213</v>
      </c>
      <c r="J33">
        <v>277.34523327873609</v>
      </c>
      <c r="K33" t="s">
        <v>121</v>
      </c>
      <c r="L33" t="s">
        <v>121</v>
      </c>
      <c r="M33" t="s">
        <v>121</v>
      </c>
      <c r="N33" t="s">
        <v>121</v>
      </c>
      <c r="O33" t="s">
        <v>121</v>
      </c>
      <c r="P33" s="17"/>
      <c r="Q33">
        <v>1</v>
      </c>
      <c r="R33">
        <v>2</v>
      </c>
      <c r="S33">
        <v>2</v>
      </c>
    </row>
    <row r="34" spans="1:19">
      <c r="A34" t="s">
        <v>33</v>
      </c>
      <c r="B34" t="s">
        <v>14</v>
      </c>
      <c r="C34" s="18">
        <v>44623</v>
      </c>
      <c r="D34" s="3">
        <v>5</v>
      </c>
      <c r="E34" s="2" t="s">
        <v>0</v>
      </c>
      <c r="F34" s="2" t="s">
        <v>200</v>
      </c>
      <c r="G34">
        <v>1</v>
      </c>
      <c r="H34">
        <v>0.86501924334796854</v>
      </c>
      <c r="I34">
        <v>35.748985570739016</v>
      </c>
      <c r="J34">
        <v>395.46611857587158</v>
      </c>
      <c r="K34">
        <v>57.563021246709916</v>
      </c>
      <c r="L34">
        <v>1.2318368301159066</v>
      </c>
      <c r="M34">
        <v>25.513000106482657</v>
      </c>
      <c r="N34">
        <v>272.54910509264789</v>
      </c>
      <c r="O34">
        <v>314.18405452370484</v>
      </c>
      <c r="P34" s="18">
        <v>44623</v>
      </c>
      <c r="Q34">
        <v>1</v>
      </c>
      <c r="R34">
        <v>4</v>
      </c>
      <c r="S34">
        <v>4</v>
      </c>
    </row>
    <row r="35" spans="1:19">
      <c r="A35" t="s">
        <v>33</v>
      </c>
      <c r="B35" t="s">
        <v>68</v>
      </c>
      <c r="C35" s="17">
        <v>44625</v>
      </c>
      <c r="D35" s="3">
        <v>5</v>
      </c>
      <c r="E35" s="1" t="s">
        <v>90</v>
      </c>
      <c r="F35" s="1" t="s">
        <v>200</v>
      </c>
      <c r="G35">
        <v>2</v>
      </c>
      <c r="H35">
        <v>0.71925333016162252</v>
      </c>
      <c r="I35">
        <v>31.627582864321159</v>
      </c>
      <c r="J35">
        <v>262.70779801455848</v>
      </c>
      <c r="K35" t="s">
        <v>121</v>
      </c>
      <c r="L35" t="s">
        <v>121</v>
      </c>
      <c r="M35" t="s">
        <v>121</v>
      </c>
      <c r="N35" t="s">
        <v>121</v>
      </c>
      <c r="O35" t="s">
        <v>121</v>
      </c>
      <c r="P35" s="17"/>
      <c r="Q35">
        <v>1</v>
      </c>
      <c r="R35">
        <v>5</v>
      </c>
      <c r="S35">
        <v>5</v>
      </c>
    </row>
    <row r="36" spans="1:19">
      <c r="A36" t="s">
        <v>33</v>
      </c>
      <c r="B36" t="s">
        <v>69</v>
      </c>
      <c r="C36" s="17">
        <v>44626</v>
      </c>
      <c r="D36" s="3">
        <v>5</v>
      </c>
      <c r="E36" s="1" t="s">
        <v>91</v>
      </c>
      <c r="F36" s="1" t="s">
        <v>200</v>
      </c>
      <c r="G36">
        <v>2</v>
      </c>
      <c r="H36">
        <v>0.85938488401942481</v>
      </c>
      <c r="I36">
        <v>27.654924218398499</v>
      </c>
      <c r="J36">
        <v>280.87195861435953</v>
      </c>
      <c r="K36" t="s">
        <v>121</v>
      </c>
      <c r="L36" t="s">
        <v>121</v>
      </c>
      <c r="M36" t="s">
        <v>121</v>
      </c>
      <c r="N36" t="s">
        <v>121</v>
      </c>
      <c r="O36" t="s">
        <v>121</v>
      </c>
      <c r="P36" s="17"/>
      <c r="Q36">
        <v>1</v>
      </c>
      <c r="R36">
        <v>3</v>
      </c>
      <c r="S36">
        <v>3</v>
      </c>
    </row>
    <row r="37" spans="1:19">
      <c r="A37" t="s">
        <v>33</v>
      </c>
      <c r="B37" t="s">
        <v>73</v>
      </c>
      <c r="C37" s="17">
        <v>44638</v>
      </c>
      <c r="D37" s="3">
        <v>5</v>
      </c>
      <c r="E37" s="1" t="s">
        <v>97</v>
      </c>
      <c r="F37" s="1" t="s">
        <v>201</v>
      </c>
      <c r="G37">
        <v>2</v>
      </c>
      <c r="H37">
        <v>0.93411780636498165</v>
      </c>
      <c r="I37">
        <v>7.0775871547635152</v>
      </c>
      <c r="J37">
        <v>65.932761359164886</v>
      </c>
      <c r="K37">
        <v>86.748147771317761</v>
      </c>
      <c r="L37">
        <v>0.78466152515311383</v>
      </c>
      <c r="M37">
        <v>7.3467092504809255</v>
      </c>
      <c r="N37">
        <v>136.35039159596252</v>
      </c>
      <c r="O37">
        <v>174.50818201290463</v>
      </c>
      <c r="P37" s="17">
        <v>44638</v>
      </c>
      <c r="Q37">
        <v>1</v>
      </c>
      <c r="R37">
        <v>1</v>
      </c>
      <c r="S37">
        <v>1</v>
      </c>
    </row>
    <row r="38" spans="1:19">
      <c r="A38" t="s">
        <v>33</v>
      </c>
      <c r="B38" t="s">
        <v>21</v>
      </c>
      <c r="C38" s="18">
        <v>44639</v>
      </c>
      <c r="D38" s="3">
        <v>5</v>
      </c>
      <c r="E38" s="2" t="s">
        <v>7</v>
      </c>
      <c r="F38" s="2" t="s">
        <v>201</v>
      </c>
      <c r="G38">
        <v>1</v>
      </c>
      <c r="H38">
        <v>1.035875758861204</v>
      </c>
      <c r="I38">
        <v>6.7968407717507775</v>
      </c>
      <c r="J38">
        <v>133.26966325321399</v>
      </c>
      <c r="K38">
        <v>87.803690847940175</v>
      </c>
      <c r="L38">
        <v>0.67431164589372905</v>
      </c>
      <c r="M38">
        <v>8.6857484126838305</v>
      </c>
      <c r="N38">
        <v>135.8285002973293</v>
      </c>
      <c r="O38">
        <v>192.74606876714873</v>
      </c>
      <c r="P38" s="18">
        <v>44639</v>
      </c>
      <c r="Q38">
        <v>4</v>
      </c>
      <c r="R38" t="s">
        <v>129</v>
      </c>
      <c r="S38">
        <v>1</v>
      </c>
    </row>
    <row r="39" spans="1:19">
      <c r="A39" t="s">
        <v>33</v>
      </c>
      <c r="B39" t="s">
        <v>64</v>
      </c>
      <c r="C39" s="17">
        <v>44640</v>
      </c>
      <c r="D39" s="3">
        <v>5</v>
      </c>
      <c r="E39" s="2" t="s">
        <v>105</v>
      </c>
      <c r="F39" s="2" t="s">
        <v>201</v>
      </c>
      <c r="G39">
        <v>2</v>
      </c>
      <c r="H39">
        <v>0.95926114347927749</v>
      </c>
      <c r="I39">
        <v>12.066556365700901</v>
      </c>
      <c r="J39">
        <v>161.92274315291311</v>
      </c>
      <c r="K39">
        <v>52.3487620801763</v>
      </c>
      <c r="L39">
        <v>0.64003041011396244</v>
      </c>
      <c r="M39">
        <v>16.514215278927544</v>
      </c>
      <c r="N39">
        <v>25.154315378283385</v>
      </c>
      <c r="O39">
        <v>42.292238756116532</v>
      </c>
      <c r="P39" s="17">
        <v>44640</v>
      </c>
      <c r="Q39">
        <v>6</v>
      </c>
      <c r="R39" t="s">
        <v>142</v>
      </c>
      <c r="S39">
        <f>((1*4)+(2*2))/Q39</f>
        <v>1.3333333333333333</v>
      </c>
    </row>
    <row r="40" spans="1:19">
      <c r="A40" t="s">
        <v>33</v>
      </c>
      <c r="B40" t="s">
        <v>80</v>
      </c>
      <c r="C40" s="17">
        <v>44641</v>
      </c>
      <c r="D40" s="3">
        <v>5</v>
      </c>
      <c r="E40" s="1" t="s">
        <v>104</v>
      </c>
      <c r="F40" s="1" t="s">
        <v>202</v>
      </c>
      <c r="G40">
        <v>2</v>
      </c>
      <c r="H40">
        <v>1.0131888115815226</v>
      </c>
      <c r="I40">
        <v>15.618540947397582</v>
      </c>
      <c r="J40">
        <v>131.61087062204709</v>
      </c>
      <c r="K40">
        <v>41.18692741298365</v>
      </c>
      <c r="L40">
        <v>0.64119494484706341</v>
      </c>
      <c r="M40">
        <v>10.685825516912322</v>
      </c>
      <c r="N40">
        <v>107.18206794110587</v>
      </c>
      <c r="O40">
        <v>143.08753497233951</v>
      </c>
      <c r="P40" s="17">
        <v>44641</v>
      </c>
      <c r="Q40" t="s">
        <v>141</v>
      </c>
      <c r="R40">
        <v>1</v>
      </c>
    </row>
  </sheetData>
  <sortState xmlns:xlrd2="http://schemas.microsoft.com/office/spreadsheetml/2017/richdata2" ref="A2:S40">
    <sortCondition ref="E2:E40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E180-2472-B84B-B94F-CEC84ABE275F}">
  <dimension ref="A1:Q33"/>
  <sheetViews>
    <sheetView tabSelected="1" zoomScale="86" workbookViewId="0">
      <selection activeCell="F1" sqref="F1:F1048576"/>
    </sheetView>
  </sheetViews>
  <sheetFormatPr baseColWidth="10" defaultRowHeight="16"/>
  <sheetData>
    <row r="1" spans="1:17">
      <c r="A1" t="s">
        <v>32</v>
      </c>
      <c r="B1" t="s">
        <v>23</v>
      </c>
      <c r="C1" t="s">
        <v>59</v>
      </c>
      <c r="D1" s="18" t="s">
        <v>190</v>
      </c>
      <c r="E1" s="3" t="s">
        <v>192</v>
      </c>
      <c r="F1" t="s">
        <v>114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122</v>
      </c>
      <c r="P1" t="s">
        <v>127</v>
      </c>
      <c r="Q1" t="s">
        <v>150</v>
      </c>
    </row>
    <row r="2" spans="1:17">
      <c r="A2" t="s">
        <v>33</v>
      </c>
      <c r="B2" t="s">
        <v>18</v>
      </c>
      <c r="C2" s="2" t="s">
        <v>4</v>
      </c>
      <c r="D2" s="18">
        <v>44475</v>
      </c>
      <c r="E2" s="3">
        <v>5</v>
      </c>
      <c r="F2">
        <v>1</v>
      </c>
      <c r="G2">
        <v>0.72368374488545484</v>
      </c>
      <c r="H2">
        <v>5.1239409469326826</v>
      </c>
      <c r="I2">
        <v>24.593890076209743</v>
      </c>
      <c r="J2">
        <v>51.382073750158312</v>
      </c>
      <c r="K2">
        <v>0.30552330966207991</v>
      </c>
      <c r="L2">
        <v>18.000350203003009</v>
      </c>
      <c r="M2">
        <v>18.908057017564776</v>
      </c>
      <c r="N2">
        <v>30.743648026756269</v>
      </c>
      <c r="O2">
        <v>1</v>
      </c>
      <c r="P2">
        <v>1</v>
      </c>
      <c r="Q2">
        <v>3</v>
      </c>
    </row>
    <row r="3" spans="1:17">
      <c r="A3" t="s">
        <v>33</v>
      </c>
      <c r="B3" t="s">
        <v>15</v>
      </c>
      <c r="C3" s="2" t="s">
        <v>1</v>
      </c>
      <c r="D3" s="18">
        <v>44491</v>
      </c>
      <c r="E3" s="3">
        <v>5</v>
      </c>
      <c r="F3">
        <v>1</v>
      </c>
      <c r="G3">
        <v>0.88656105008731589</v>
      </c>
      <c r="H3">
        <v>21.274117579071415</v>
      </c>
      <c r="I3">
        <v>34.826061251676549</v>
      </c>
      <c r="J3">
        <v>52.508533848807922</v>
      </c>
      <c r="K3">
        <v>0.21065496754629021</v>
      </c>
      <c r="L3">
        <v>24.521995784066746</v>
      </c>
      <c r="M3">
        <v>8.7833807384011191</v>
      </c>
      <c r="N3">
        <v>10.179775574037372</v>
      </c>
      <c r="O3">
        <v>1</v>
      </c>
      <c r="P3">
        <v>1</v>
      </c>
      <c r="Q3">
        <v>4</v>
      </c>
    </row>
    <row r="4" spans="1:17">
      <c r="A4" t="s">
        <v>33</v>
      </c>
      <c r="B4" t="s">
        <v>79</v>
      </c>
      <c r="C4" s="1" t="s">
        <v>103</v>
      </c>
      <c r="D4" s="17">
        <v>44497</v>
      </c>
      <c r="E4" s="3">
        <v>5</v>
      </c>
      <c r="F4">
        <v>2</v>
      </c>
      <c r="G4">
        <v>0.82943994592263348</v>
      </c>
      <c r="H4">
        <v>9.1531551300475531</v>
      </c>
      <c r="I4">
        <v>32.173873045758981</v>
      </c>
      <c r="J4">
        <v>103.26174930766932</v>
      </c>
      <c r="K4">
        <v>0.22714613772822062</v>
      </c>
      <c r="L4">
        <v>9.9785579303476677</v>
      </c>
      <c r="M4">
        <v>9.8085980896599594</v>
      </c>
      <c r="N4">
        <v>20.539170496042239</v>
      </c>
      <c r="O4">
        <v>1</v>
      </c>
      <c r="P4">
        <v>1</v>
      </c>
      <c r="Q4">
        <v>4</v>
      </c>
    </row>
    <row r="5" spans="1:17">
      <c r="A5" t="s">
        <v>33</v>
      </c>
      <c r="B5" t="s">
        <v>10</v>
      </c>
      <c r="C5" s="1" t="s">
        <v>116</v>
      </c>
      <c r="D5" s="17">
        <v>44526</v>
      </c>
      <c r="E5" s="3">
        <v>5</v>
      </c>
      <c r="F5">
        <v>1</v>
      </c>
      <c r="G5">
        <v>0.80580079156721263</v>
      </c>
      <c r="H5">
        <v>10.874727826601507</v>
      </c>
      <c r="I5">
        <v>38.925032797494872</v>
      </c>
      <c r="J5">
        <v>37.09827270225238</v>
      </c>
      <c r="K5">
        <v>0.27591285814979949</v>
      </c>
      <c r="L5">
        <v>18.322747332495339</v>
      </c>
      <c r="M5">
        <v>44.210126018127731</v>
      </c>
      <c r="N5">
        <v>86.44551374776627</v>
      </c>
      <c r="O5">
        <v>4</v>
      </c>
      <c r="P5">
        <v>4</v>
      </c>
      <c r="Q5">
        <v>6</v>
      </c>
    </row>
    <row r="6" spans="1:17">
      <c r="A6" t="s">
        <v>33</v>
      </c>
      <c r="B6" t="s">
        <v>13</v>
      </c>
      <c r="C6" s="2" t="s">
        <v>119</v>
      </c>
      <c r="D6" s="18">
        <v>44527</v>
      </c>
      <c r="E6" s="3">
        <v>5</v>
      </c>
      <c r="F6">
        <v>1</v>
      </c>
      <c r="G6">
        <v>0.84973561934755426</v>
      </c>
      <c r="H6">
        <v>10.471283552733373</v>
      </c>
      <c r="I6">
        <v>45.514254168321237</v>
      </c>
      <c r="J6">
        <v>37.130635802367529</v>
      </c>
      <c r="K6">
        <v>0.24353026866796124</v>
      </c>
      <c r="L6">
        <v>17.220231271854207</v>
      </c>
      <c r="M6">
        <v>9.3829871741436826</v>
      </c>
      <c r="N6">
        <v>11.240396518217807</v>
      </c>
      <c r="O6">
        <v>5</v>
      </c>
      <c r="P6">
        <v>1</v>
      </c>
      <c r="Q6">
        <v>6</v>
      </c>
    </row>
    <row r="7" spans="1:17">
      <c r="A7" t="s">
        <v>33</v>
      </c>
      <c r="B7" t="s">
        <v>77</v>
      </c>
      <c r="C7" s="1" t="s">
        <v>101</v>
      </c>
      <c r="D7" s="17">
        <v>44528</v>
      </c>
      <c r="E7" s="3">
        <v>5</v>
      </c>
      <c r="F7">
        <v>2</v>
      </c>
      <c r="G7">
        <v>0.9162235079877068</v>
      </c>
      <c r="H7">
        <v>24.545744470135475</v>
      </c>
      <c r="I7">
        <v>61.937779563104371</v>
      </c>
      <c r="J7">
        <v>173.89847383049559</v>
      </c>
      <c r="K7">
        <v>1.0827120164312798</v>
      </c>
      <c r="L7">
        <v>19.315274981928059</v>
      </c>
      <c r="M7">
        <v>136.73734233042214</v>
      </c>
      <c r="N7">
        <v>156.07035135394165</v>
      </c>
      <c r="O7">
        <v>5</v>
      </c>
      <c r="P7">
        <v>1</v>
      </c>
      <c r="Q7">
        <v>6</v>
      </c>
    </row>
    <row r="8" spans="1:17">
      <c r="A8" t="s">
        <v>33</v>
      </c>
      <c r="B8" t="s">
        <v>20</v>
      </c>
      <c r="C8" s="2" t="s">
        <v>6</v>
      </c>
      <c r="D8" s="18">
        <v>44529</v>
      </c>
      <c r="E8" s="3">
        <v>5</v>
      </c>
      <c r="F8">
        <v>1</v>
      </c>
      <c r="G8">
        <v>1.2222271505973339</v>
      </c>
      <c r="H8">
        <v>11.038185180700172</v>
      </c>
      <c r="I8">
        <v>48.536706315537195</v>
      </c>
      <c r="J8">
        <v>96.735988018993396</v>
      </c>
      <c r="K8">
        <v>0.29030406206297854</v>
      </c>
      <c r="L8">
        <v>10.660638353397356</v>
      </c>
      <c r="M8">
        <v>32.022127097341219</v>
      </c>
      <c r="N8">
        <v>24.357999230689543</v>
      </c>
      <c r="O8">
        <v>3</v>
      </c>
      <c r="P8">
        <v>2.3333333333333335</v>
      </c>
      <c r="Q8">
        <v>6</v>
      </c>
    </row>
    <row r="9" spans="1:17">
      <c r="A9" t="s">
        <v>33</v>
      </c>
      <c r="B9" t="s">
        <v>76</v>
      </c>
      <c r="C9" s="1" t="s">
        <v>100</v>
      </c>
      <c r="D9" s="17">
        <v>44530</v>
      </c>
      <c r="E9" s="3">
        <v>5</v>
      </c>
      <c r="F9">
        <v>2</v>
      </c>
      <c r="G9">
        <v>0.86536802145215086</v>
      </c>
      <c r="H9">
        <v>20.795897804959665</v>
      </c>
      <c r="I9">
        <v>61.336338232269597</v>
      </c>
      <c r="J9">
        <v>77.776681989483095</v>
      </c>
      <c r="K9">
        <v>0.32887870460706831</v>
      </c>
      <c r="L9">
        <v>21.817958441671976</v>
      </c>
      <c r="M9">
        <v>63.694457909015462</v>
      </c>
      <c r="N9">
        <v>121.65943856354582</v>
      </c>
      <c r="O9">
        <v>10</v>
      </c>
      <c r="P9">
        <f>(1*10)/N9</f>
        <v>8.2196664049018653E-2</v>
      </c>
      <c r="Q9">
        <v>6</v>
      </c>
    </row>
    <row r="10" spans="1:17">
      <c r="A10" t="s">
        <v>33</v>
      </c>
      <c r="B10" t="s">
        <v>78</v>
      </c>
      <c r="C10" s="1" t="s">
        <v>102</v>
      </c>
      <c r="D10" s="17">
        <v>44532</v>
      </c>
      <c r="E10" s="3">
        <v>5</v>
      </c>
      <c r="F10">
        <v>2</v>
      </c>
      <c r="G10">
        <v>0.8763828636338783</v>
      </c>
      <c r="H10">
        <v>12.79266909986408</v>
      </c>
      <c r="I10">
        <v>44.383724815034029</v>
      </c>
      <c r="J10">
        <v>48.063124119531857</v>
      </c>
      <c r="K10">
        <v>0.25528721534446464</v>
      </c>
      <c r="L10">
        <v>27.042002636147195</v>
      </c>
      <c r="M10">
        <v>16.096262547244134</v>
      </c>
      <c r="N10">
        <v>35.592166881550789</v>
      </c>
      <c r="O10">
        <v>6</v>
      </c>
      <c r="P10">
        <v>1</v>
      </c>
      <c r="Q10">
        <v>6</v>
      </c>
    </row>
    <row r="11" spans="1:17">
      <c r="A11" t="s">
        <v>33</v>
      </c>
      <c r="B11" t="s">
        <v>88</v>
      </c>
      <c r="C11" s="1" t="s">
        <v>113</v>
      </c>
      <c r="D11" s="17">
        <v>44534</v>
      </c>
      <c r="E11" s="3">
        <v>5</v>
      </c>
      <c r="F11">
        <v>2</v>
      </c>
      <c r="G11">
        <v>0.96133627112180253</v>
      </c>
      <c r="H11">
        <v>18.017795753185347</v>
      </c>
      <c r="I11">
        <v>92.879600778978642</v>
      </c>
      <c r="J11">
        <v>43.978994852749935</v>
      </c>
      <c r="K11">
        <v>0.43728866100165364</v>
      </c>
      <c r="L11">
        <v>19.323630536464208</v>
      </c>
      <c r="M11">
        <v>59.864140596331971</v>
      </c>
      <c r="N11">
        <v>1135.9102008285563</v>
      </c>
      <c r="O11">
        <v>28</v>
      </c>
      <c r="P11">
        <f>((2*5)+(1*3)+(3*20))/N11</f>
        <v>6.4265643487268889E-2</v>
      </c>
      <c r="Q11">
        <v>6</v>
      </c>
    </row>
    <row r="12" spans="1:17">
      <c r="A12" t="s">
        <v>33</v>
      </c>
      <c r="B12" t="s">
        <v>12</v>
      </c>
      <c r="C12" s="2" t="s">
        <v>118</v>
      </c>
      <c r="D12" s="18">
        <v>44535</v>
      </c>
      <c r="E12" s="3">
        <v>5</v>
      </c>
      <c r="F12">
        <v>1</v>
      </c>
      <c r="G12">
        <v>0.87932182745812371</v>
      </c>
      <c r="H12">
        <v>15.618258396167157</v>
      </c>
      <c r="I12">
        <v>64.022076659602547</v>
      </c>
      <c r="J12">
        <v>37.024975322509512</v>
      </c>
      <c r="K12">
        <v>0.2696689918686821</v>
      </c>
      <c r="L12">
        <v>17.070944140937719</v>
      </c>
      <c r="M12">
        <v>41.704638382757388</v>
      </c>
      <c r="N12">
        <v>47.584717245536574</v>
      </c>
      <c r="O12">
        <v>9</v>
      </c>
      <c r="P12">
        <v>3.5555555555555554</v>
      </c>
      <c r="Q12">
        <v>6</v>
      </c>
    </row>
    <row r="13" spans="1:17">
      <c r="A13" t="s">
        <v>33</v>
      </c>
      <c r="B13" t="s">
        <v>87</v>
      </c>
      <c r="C13" s="1" t="s">
        <v>112</v>
      </c>
      <c r="D13" s="17">
        <v>44539</v>
      </c>
      <c r="E13" s="3">
        <v>5</v>
      </c>
      <c r="F13">
        <v>2</v>
      </c>
      <c r="G13">
        <v>0.91621224397381784</v>
      </c>
      <c r="H13">
        <v>25.058629677997317</v>
      </c>
      <c r="I13">
        <v>68.788490017426341</v>
      </c>
      <c r="J13">
        <v>58.706022354485512</v>
      </c>
      <c r="K13">
        <v>0.48295423573591645</v>
      </c>
      <c r="L13">
        <v>17.003137623904195</v>
      </c>
      <c r="M13">
        <v>108.40397354403991</v>
      </c>
      <c r="N13">
        <v>103.39171008586746</v>
      </c>
      <c r="O13">
        <v>19</v>
      </c>
      <c r="P13">
        <f>((1*8)+(2*6)+(4*2)+(5)+(3*2))/19</f>
        <v>2.0526315789473686</v>
      </c>
      <c r="Q13">
        <v>6</v>
      </c>
    </row>
    <row r="14" spans="1:17">
      <c r="A14" t="s">
        <v>33</v>
      </c>
      <c r="B14" t="s">
        <v>86</v>
      </c>
      <c r="C14" s="1" t="s">
        <v>111</v>
      </c>
      <c r="D14" s="17">
        <v>44538</v>
      </c>
      <c r="E14" s="3">
        <v>5</v>
      </c>
      <c r="F14">
        <v>2</v>
      </c>
      <c r="G14">
        <v>0.95693048723895513</v>
      </c>
      <c r="H14">
        <v>17.080523833436768</v>
      </c>
      <c r="I14">
        <v>73.156940447001503</v>
      </c>
      <c r="J14">
        <v>29.573130556837636</v>
      </c>
      <c r="K14">
        <v>0.3797858517718064</v>
      </c>
      <c r="L14">
        <v>16.380057403292973</v>
      </c>
      <c r="M14">
        <v>38.341861069609458</v>
      </c>
      <c r="N14">
        <v>66.97128896449189</v>
      </c>
      <c r="O14">
        <v>13</v>
      </c>
      <c r="P14">
        <v>1</v>
      </c>
      <c r="Q14">
        <v>6</v>
      </c>
    </row>
    <row r="15" spans="1:17">
      <c r="A15" t="s">
        <v>33</v>
      </c>
      <c r="B15" t="s">
        <v>9</v>
      </c>
      <c r="C15" s="1" t="s">
        <v>115</v>
      </c>
      <c r="D15" s="17">
        <v>44539</v>
      </c>
      <c r="E15" s="3">
        <v>5</v>
      </c>
      <c r="F15">
        <v>1</v>
      </c>
      <c r="G15">
        <v>0.80933442637431929</v>
      </c>
      <c r="H15">
        <v>8.5803896552124019</v>
      </c>
      <c r="I15">
        <v>349.33938408922165</v>
      </c>
      <c r="J15">
        <v>27.134223195237617</v>
      </c>
      <c r="K15">
        <v>0.96107202444760242</v>
      </c>
      <c r="L15">
        <v>24.006529318345894</v>
      </c>
      <c r="M15">
        <v>23.481281407349556</v>
      </c>
      <c r="N15">
        <v>37.824234563318797</v>
      </c>
      <c r="O15">
        <v>4</v>
      </c>
      <c r="P15">
        <v>1</v>
      </c>
      <c r="Q15">
        <v>7</v>
      </c>
    </row>
    <row r="16" spans="1:17">
      <c r="A16" t="s">
        <v>33</v>
      </c>
      <c r="B16" t="s">
        <v>11</v>
      </c>
      <c r="C16" s="2" t="s">
        <v>117</v>
      </c>
      <c r="D16" s="18">
        <v>44543</v>
      </c>
      <c r="E16" s="3">
        <v>5</v>
      </c>
      <c r="F16">
        <v>1</v>
      </c>
      <c r="G16">
        <v>0.78902058669226527</v>
      </c>
      <c r="H16">
        <v>21.85266026837348</v>
      </c>
      <c r="I16">
        <v>486.48239756691532</v>
      </c>
      <c r="J16">
        <v>42.10435597115773</v>
      </c>
      <c r="K16">
        <v>1.0102772948184773</v>
      </c>
      <c r="L16">
        <v>28.939842343182082</v>
      </c>
      <c r="M16">
        <v>199.02388947971676</v>
      </c>
      <c r="N16">
        <v>192.53405332023902</v>
      </c>
      <c r="O16">
        <v>6</v>
      </c>
      <c r="P16">
        <v>3.4285714285714284</v>
      </c>
      <c r="Q16">
        <v>7</v>
      </c>
    </row>
    <row r="17" spans="1:17">
      <c r="A17" t="s">
        <v>33</v>
      </c>
      <c r="B17" t="s">
        <v>82</v>
      </c>
      <c r="C17" s="1" t="s">
        <v>107</v>
      </c>
      <c r="D17" s="17">
        <v>44544</v>
      </c>
      <c r="E17" s="3">
        <v>5</v>
      </c>
      <c r="F17">
        <v>2</v>
      </c>
      <c r="G17">
        <v>0.93919756584407754</v>
      </c>
      <c r="H17">
        <v>22.187098222622993</v>
      </c>
      <c r="I17">
        <v>232.81284658384095</v>
      </c>
      <c r="J17">
        <v>40.850015817504392</v>
      </c>
      <c r="K17">
        <v>0.66836608660612418</v>
      </c>
      <c r="L17">
        <v>25.3112561871514</v>
      </c>
      <c r="M17">
        <v>70.140545151448066</v>
      </c>
      <c r="N17">
        <v>70.280899721910259</v>
      </c>
      <c r="O17">
        <v>10</v>
      </c>
      <c r="P17">
        <f>((1*4)+(2*6))/10</f>
        <v>1.6</v>
      </c>
      <c r="Q17">
        <v>7</v>
      </c>
    </row>
    <row r="18" spans="1:17">
      <c r="A18" t="s">
        <v>33</v>
      </c>
      <c r="B18" t="s">
        <v>85</v>
      </c>
      <c r="C18" s="1" t="s">
        <v>110</v>
      </c>
      <c r="D18" s="17">
        <v>44546</v>
      </c>
      <c r="E18" s="3">
        <v>5</v>
      </c>
      <c r="F18">
        <v>2</v>
      </c>
      <c r="G18">
        <v>0.90619233447163783</v>
      </c>
      <c r="H18">
        <v>60.278407692382387</v>
      </c>
      <c r="I18">
        <v>289.48893995925721</v>
      </c>
      <c r="J18">
        <v>92.398845717450115</v>
      </c>
      <c r="K18">
        <v>0.71666422027219223</v>
      </c>
      <c r="L18">
        <v>18.511438084366794</v>
      </c>
      <c r="M18">
        <v>68.829706823466779</v>
      </c>
      <c r="N18">
        <v>106.88888921316737</v>
      </c>
      <c r="O18">
        <v>14</v>
      </c>
      <c r="P18">
        <f>((5*1)+(1*3)+(2*10))/N18</f>
        <v>0.26195426115954762</v>
      </c>
      <c r="Q18">
        <v>7</v>
      </c>
    </row>
    <row r="19" spans="1:17">
      <c r="A19" t="s">
        <v>33</v>
      </c>
      <c r="B19" t="s">
        <v>84</v>
      </c>
      <c r="C19" s="1" t="s">
        <v>109</v>
      </c>
      <c r="D19" s="17">
        <v>44545</v>
      </c>
      <c r="E19" s="3">
        <v>5</v>
      </c>
      <c r="F19">
        <v>2</v>
      </c>
      <c r="G19">
        <v>0.90431285410188522</v>
      </c>
      <c r="H19">
        <v>27.000145839646486</v>
      </c>
      <c r="I19">
        <v>184.55978829978042</v>
      </c>
      <c r="J19">
        <v>35.304299846378434</v>
      </c>
      <c r="K19">
        <v>0.62191082466464265</v>
      </c>
      <c r="L19">
        <v>16.860920307063587</v>
      </c>
      <c r="M19">
        <v>46.7958548160343</v>
      </c>
      <c r="N19">
        <v>183.7360895710282</v>
      </c>
      <c r="O19">
        <v>14</v>
      </c>
      <c r="P19">
        <f>((2*7)+(1*6)+(3*1))/14</f>
        <v>1.6428571428571428</v>
      </c>
      <c r="Q19">
        <v>7</v>
      </c>
    </row>
    <row r="20" spans="1:17">
      <c r="A20" t="s">
        <v>33</v>
      </c>
      <c r="B20" t="s">
        <v>83</v>
      </c>
      <c r="C20" s="1" t="s">
        <v>108</v>
      </c>
      <c r="D20" s="17">
        <v>44549</v>
      </c>
      <c r="E20" s="3">
        <v>5</v>
      </c>
      <c r="F20">
        <v>2</v>
      </c>
      <c r="G20">
        <v>0.83825396406271191</v>
      </c>
      <c r="H20">
        <v>79.565372082083343</v>
      </c>
      <c r="I20">
        <v>310.58409849330383</v>
      </c>
      <c r="J20">
        <v>51.97966949576584</v>
      </c>
      <c r="K20">
        <v>1.187180700809771</v>
      </c>
      <c r="L20">
        <v>51.782563142503037</v>
      </c>
      <c r="M20">
        <v>386.60748366088694</v>
      </c>
      <c r="N20">
        <v>588.26064575105306</v>
      </c>
      <c r="O20">
        <v>22</v>
      </c>
      <c r="P20">
        <v>2</v>
      </c>
      <c r="Q20">
        <v>7</v>
      </c>
    </row>
    <row r="21" spans="1:17">
      <c r="A21" t="s">
        <v>33</v>
      </c>
      <c r="B21" t="s">
        <v>19</v>
      </c>
      <c r="C21" s="2" t="s">
        <v>5</v>
      </c>
      <c r="D21" s="18">
        <v>44572</v>
      </c>
      <c r="E21" s="3">
        <v>5</v>
      </c>
      <c r="F21">
        <v>1</v>
      </c>
      <c r="G21">
        <v>0.96161313509105339</v>
      </c>
      <c r="H21">
        <v>23.964656258597035</v>
      </c>
      <c r="I21">
        <v>469.12717995209761</v>
      </c>
      <c r="J21">
        <v>41.903309867642157</v>
      </c>
      <c r="K21">
        <v>0.63607330014090313</v>
      </c>
      <c r="L21">
        <v>9.1039868773002333</v>
      </c>
      <c r="M21">
        <v>125.28663377666911</v>
      </c>
      <c r="N21">
        <v>170.20697097150486</v>
      </c>
      <c r="O21">
        <v>8</v>
      </c>
      <c r="P21">
        <v>3</v>
      </c>
      <c r="Q21">
        <v>9</v>
      </c>
    </row>
    <row r="22" spans="1:17">
      <c r="A22" t="s">
        <v>33</v>
      </c>
      <c r="B22" t="s">
        <v>17</v>
      </c>
      <c r="C22" s="2" t="s">
        <v>3</v>
      </c>
      <c r="D22" s="18">
        <v>44589</v>
      </c>
      <c r="E22" s="3">
        <v>5</v>
      </c>
      <c r="F22">
        <v>1</v>
      </c>
      <c r="G22">
        <v>0.80702183651452364</v>
      </c>
      <c r="H22">
        <v>10.455680618415109</v>
      </c>
      <c r="I22">
        <v>178.87378354518839</v>
      </c>
      <c r="J22">
        <v>40.299038984451677</v>
      </c>
      <c r="K22">
        <v>0.27233494334137037</v>
      </c>
      <c r="L22">
        <v>7.8353679661454105</v>
      </c>
      <c r="M22">
        <v>9.4100335939093522</v>
      </c>
      <c r="N22">
        <v>13.389546649879703</v>
      </c>
      <c r="O22">
        <v>7</v>
      </c>
      <c r="P22">
        <v>3.8571428571428572</v>
      </c>
      <c r="Q22">
        <v>10</v>
      </c>
    </row>
    <row r="23" spans="1:17">
      <c r="A23" t="s">
        <v>33</v>
      </c>
      <c r="B23" t="s">
        <v>22</v>
      </c>
      <c r="C23" s="2" t="s">
        <v>8</v>
      </c>
      <c r="D23" s="18">
        <v>44603</v>
      </c>
      <c r="E23" s="3">
        <v>5</v>
      </c>
      <c r="F23">
        <v>1</v>
      </c>
      <c r="G23">
        <v>0.92188121713274906</v>
      </c>
      <c r="H23">
        <v>42.027593789363983</v>
      </c>
      <c r="I23">
        <v>186.15008319723404</v>
      </c>
      <c r="J23">
        <v>39.633014680025624</v>
      </c>
      <c r="K23">
        <v>0.32814841295460101</v>
      </c>
      <c r="L23">
        <v>11.031716815464861</v>
      </c>
      <c r="M23">
        <v>105.33504986099311</v>
      </c>
      <c r="N23">
        <v>122.79761862196219</v>
      </c>
      <c r="O23">
        <v>1</v>
      </c>
      <c r="P23">
        <v>1</v>
      </c>
      <c r="Q23">
        <v>11</v>
      </c>
    </row>
    <row r="24" spans="1:17">
      <c r="A24" t="s">
        <v>33</v>
      </c>
      <c r="B24" t="s">
        <v>72</v>
      </c>
      <c r="C24" s="1" t="s">
        <v>96</v>
      </c>
      <c r="D24" s="17">
        <v>44607</v>
      </c>
      <c r="E24" s="3">
        <v>5</v>
      </c>
      <c r="F24">
        <v>2</v>
      </c>
      <c r="G24">
        <v>0.89073325978086304</v>
      </c>
      <c r="H24">
        <v>26.297978147991028</v>
      </c>
      <c r="I24">
        <v>83.555030132529765</v>
      </c>
      <c r="J24">
        <v>52.635236342296423</v>
      </c>
      <c r="K24">
        <v>0.48012222161367712</v>
      </c>
      <c r="L24">
        <v>13.560878679756133</v>
      </c>
      <c r="M24">
        <v>159.00437811922646</v>
      </c>
      <c r="N24">
        <v>201.55003627239822</v>
      </c>
      <c r="O24">
        <v>1</v>
      </c>
      <c r="P24">
        <v>1</v>
      </c>
      <c r="Q24">
        <v>11</v>
      </c>
    </row>
    <row r="25" spans="1:17">
      <c r="A25" t="s">
        <v>33</v>
      </c>
      <c r="B25" t="s">
        <v>16</v>
      </c>
      <c r="C25" s="2" t="s">
        <v>2</v>
      </c>
      <c r="D25" s="18">
        <v>44608</v>
      </c>
      <c r="E25" s="3">
        <v>5</v>
      </c>
      <c r="F25">
        <v>1</v>
      </c>
      <c r="G25">
        <v>0.9279084140152204</v>
      </c>
      <c r="H25">
        <v>48.102592972145246</v>
      </c>
      <c r="I25">
        <v>219.37686437793496</v>
      </c>
      <c r="J25">
        <v>57.652621836731157</v>
      </c>
      <c r="K25">
        <v>0.5398836848281815</v>
      </c>
      <c r="L25">
        <v>9.9502613620541265</v>
      </c>
      <c r="M25">
        <v>112.65266362091219</v>
      </c>
      <c r="N25">
        <v>91.912710611649771</v>
      </c>
      <c r="O25">
        <v>2</v>
      </c>
      <c r="P25">
        <v>1</v>
      </c>
      <c r="Q25">
        <v>11</v>
      </c>
    </row>
    <row r="26" spans="1:17">
      <c r="A26" t="s">
        <v>33</v>
      </c>
      <c r="B26" t="s">
        <v>81</v>
      </c>
      <c r="C26" s="1" t="s">
        <v>106</v>
      </c>
      <c r="D26" s="17">
        <v>44612</v>
      </c>
      <c r="E26" s="3">
        <v>5</v>
      </c>
      <c r="F26">
        <v>2</v>
      </c>
      <c r="G26">
        <v>1.029700689141007</v>
      </c>
      <c r="H26">
        <v>13.487810021148949</v>
      </c>
      <c r="I26">
        <v>180.02756940358057</v>
      </c>
      <c r="J26">
        <v>52.982528683786938</v>
      </c>
      <c r="K26">
        <v>0.70355394004385652</v>
      </c>
      <c r="L26">
        <v>11.931708235258521</v>
      </c>
      <c r="M26">
        <v>110.58649355921455</v>
      </c>
      <c r="N26">
        <v>93.972518031999115</v>
      </c>
      <c r="O26">
        <v>1</v>
      </c>
      <c r="P26">
        <v>1</v>
      </c>
      <c r="Q26">
        <v>11</v>
      </c>
    </row>
    <row r="27" spans="1:17">
      <c r="A27" t="s">
        <v>33</v>
      </c>
      <c r="B27" t="s">
        <v>74</v>
      </c>
      <c r="C27" s="1" t="s">
        <v>98</v>
      </c>
      <c r="D27" s="17">
        <v>44619</v>
      </c>
      <c r="E27" s="3">
        <v>5</v>
      </c>
      <c r="F27">
        <v>2</v>
      </c>
      <c r="G27">
        <v>0.89366146204626984</v>
      </c>
      <c r="H27">
        <v>16.726709874350476</v>
      </c>
      <c r="I27">
        <v>181.52054191546878</v>
      </c>
      <c r="J27">
        <v>43.197281943272245</v>
      </c>
      <c r="K27">
        <v>0.33262348710927125</v>
      </c>
      <c r="L27">
        <v>11.767537332380073</v>
      </c>
      <c r="M27">
        <v>21.7520704421615</v>
      </c>
      <c r="N27">
        <v>26.353884770157411</v>
      </c>
      <c r="O27">
        <v>1</v>
      </c>
      <c r="P27">
        <v>1</v>
      </c>
      <c r="Q27">
        <v>12</v>
      </c>
    </row>
    <row r="28" spans="1:17">
      <c r="A28" t="s">
        <v>33</v>
      </c>
      <c r="B28" t="s">
        <v>75</v>
      </c>
      <c r="C28" s="1" t="s">
        <v>99</v>
      </c>
      <c r="D28" s="17">
        <v>44620</v>
      </c>
      <c r="E28" s="3">
        <v>5</v>
      </c>
      <c r="F28">
        <v>2</v>
      </c>
      <c r="G28">
        <v>0.88084948543585173</v>
      </c>
      <c r="H28">
        <v>28.204916533395153</v>
      </c>
      <c r="I28">
        <v>289.46023750181877</v>
      </c>
      <c r="J28">
        <v>53.705645309763199</v>
      </c>
      <c r="K28">
        <v>0.44298927093214113</v>
      </c>
      <c r="L28">
        <v>11.393132915155682</v>
      </c>
      <c r="M28">
        <v>41.78102589694803</v>
      </c>
      <c r="N28">
        <v>111.76200703682701</v>
      </c>
      <c r="O28">
        <v>1</v>
      </c>
      <c r="P28">
        <v>1</v>
      </c>
      <c r="Q28">
        <v>12</v>
      </c>
    </row>
    <row r="29" spans="1:17">
      <c r="A29" t="s">
        <v>33</v>
      </c>
      <c r="B29" t="s">
        <v>14</v>
      </c>
      <c r="C29" s="2" t="s">
        <v>0</v>
      </c>
      <c r="D29" s="18">
        <v>44623</v>
      </c>
      <c r="E29" s="3">
        <v>5</v>
      </c>
      <c r="F29">
        <v>1</v>
      </c>
      <c r="G29">
        <v>0.86501924334796854</v>
      </c>
      <c r="H29">
        <v>35.748985570739016</v>
      </c>
      <c r="I29">
        <v>395.46611857587158</v>
      </c>
      <c r="J29">
        <v>57.563021246709916</v>
      </c>
      <c r="K29">
        <v>1.2318368301159066</v>
      </c>
      <c r="L29">
        <v>25.513000106482657</v>
      </c>
      <c r="M29">
        <v>272.54910509264789</v>
      </c>
      <c r="N29">
        <v>314.18405452370484</v>
      </c>
      <c r="O29">
        <v>1</v>
      </c>
      <c r="P29">
        <v>4</v>
      </c>
      <c r="Q29">
        <v>12</v>
      </c>
    </row>
    <row r="30" spans="1:17">
      <c r="A30" t="s">
        <v>33</v>
      </c>
      <c r="B30" t="s">
        <v>73</v>
      </c>
      <c r="C30" s="1" t="s">
        <v>97</v>
      </c>
      <c r="D30" s="17">
        <v>44638</v>
      </c>
      <c r="E30" s="3">
        <v>5</v>
      </c>
      <c r="F30">
        <v>2</v>
      </c>
      <c r="G30">
        <v>0.93411780636498165</v>
      </c>
      <c r="H30">
        <v>7.0775871547635152</v>
      </c>
      <c r="I30">
        <v>65.932761359164886</v>
      </c>
      <c r="J30">
        <v>86.748147771317761</v>
      </c>
      <c r="K30">
        <v>0.78466152515311383</v>
      </c>
      <c r="L30">
        <v>7.3467092504809255</v>
      </c>
      <c r="M30">
        <v>136.35039159596252</v>
      </c>
      <c r="N30">
        <v>174.50818201290463</v>
      </c>
      <c r="O30">
        <v>1</v>
      </c>
      <c r="P30">
        <v>1</v>
      </c>
      <c r="Q30">
        <v>13</v>
      </c>
    </row>
    <row r="31" spans="1:17">
      <c r="A31" t="s">
        <v>33</v>
      </c>
      <c r="B31" t="s">
        <v>21</v>
      </c>
      <c r="C31" s="2" t="s">
        <v>7</v>
      </c>
      <c r="D31" s="18">
        <v>44639</v>
      </c>
      <c r="E31" s="3">
        <v>5</v>
      </c>
      <c r="F31">
        <v>1</v>
      </c>
      <c r="G31">
        <v>1.035875758861204</v>
      </c>
      <c r="H31">
        <v>6.7968407717507775</v>
      </c>
      <c r="I31">
        <v>133.26966325321399</v>
      </c>
      <c r="J31">
        <v>87.803690847940175</v>
      </c>
      <c r="K31">
        <v>0.67431164589372905</v>
      </c>
      <c r="L31">
        <v>8.6857484126838305</v>
      </c>
      <c r="M31">
        <v>135.8285002973293</v>
      </c>
      <c r="N31">
        <v>192.74606876714873</v>
      </c>
      <c r="O31">
        <v>4</v>
      </c>
      <c r="P31">
        <v>1</v>
      </c>
      <c r="Q31">
        <v>13</v>
      </c>
    </row>
    <row r="32" spans="1:17">
      <c r="A32" t="s">
        <v>33</v>
      </c>
      <c r="B32" t="s">
        <v>64</v>
      </c>
      <c r="C32" s="2" t="s">
        <v>105</v>
      </c>
      <c r="D32" s="17">
        <v>44640</v>
      </c>
      <c r="E32" s="3">
        <v>5</v>
      </c>
      <c r="F32">
        <v>2</v>
      </c>
      <c r="G32">
        <v>0.95926114347927749</v>
      </c>
      <c r="H32">
        <v>12.066556365700901</v>
      </c>
      <c r="I32">
        <v>161.92274315291311</v>
      </c>
      <c r="J32">
        <v>52.3487620801763</v>
      </c>
      <c r="K32">
        <v>0.64003041011396244</v>
      </c>
      <c r="L32">
        <v>16.514215278927544</v>
      </c>
      <c r="M32">
        <v>25.154315378283385</v>
      </c>
      <c r="N32">
        <v>42.292238756116532</v>
      </c>
      <c r="O32">
        <v>6</v>
      </c>
      <c r="P32">
        <v>1.3333333333333333</v>
      </c>
      <c r="Q32">
        <v>13</v>
      </c>
    </row>
    <row r="33" spans="1:17">
      <c r="A33" t="s">
        <v>33</v>
      </c>
      <c r="B33" t="s">
        <v>80</v>
      </c>
      <c r="C33" s="1" t="s">
        <v>104</v>
      </c>
      <c r="D33" s="17">
        <v>44641</v>
      </c>
      <c r="E33" s="3">
        <v>5</v>
      </c>
      <c r="F33">
        <v>2</v>
      </c>
      <c r="G33">
        <v>1.0131888115815226</v>
      </c>
      <c r="H33">
        <v>15.618540947397582</v>
      </c>
      <c r="I33">
        <v>131.61087062204709</v>
      </c>
      <c r="J33">
        <v>41.18692741298365</v>
      </c>
      <c r="K33">
        <v>0.64119494484706341</v>
      </c>
      <c r="L33">
        <v>10.685825516912322</v>
      </c>
      <c r="M33">
        <v>107.18206794110587</v>
      </c>
      <c r="N33">
        <v>143.08753497233951</v>
      </c>
      <c r="O33">
        <v>8</v>
      </c>
      <c r="P33">
        <v>1</v>
      </c>
      <c r="Q33">
        <v>13</v>
      </c>
    </row>
  </sheetData>
  <sortState xmlns:xlrd2="http://schemas.microsoft.com/office/spreadsheetml/2017/richdata2" ref="A2:P33">
    <sortCondition ref="C2:C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F2CE-D865-1748-84AA-14C7910A927C}">
  <dimension ref="A1:K9"/>
  <sheetViews>
    <sheetView topLeftCell="D1" zoomScale="150" workbookViewId="0">
      <selection activeCell="G3" sqref="G3"/>
    </sheetView>
  </sheetViews>
  <sheetFormatPr baseColWidth="10" defaultRowHeight="16"/>
  <sheetData>
    <row r="1" spans="1:11">
      <c r="A1" t="s">
        <v>156</v>
      </c>
      <c r="G1" t="s">
        <v>157</v>
      </c>
    </row>
    <row r="2" spans="1:11">
      <c r="A2" t="s">
        <v>151</v>
      </c>
      <c r="B2" t="s">
        <v>153</v>
      </c>
      <c r="C2" t="s">
        <v>152</v>
      </c>
      <c r="D2" t="s">
        <v>154</v>
      </c>
      <c r="E2" t="s">
        <v>155</v>
      </c>
      <c r="G2" t="s">
        <v>153</v>
      </c>
      <c r="H2" t="s">
        <v>152</v>
      </c>
      <c r="I2" t="s">
        <v>154</v>
      </c>
      <c r="J2" t="s">
        <v>160</v>
      </c>
      <c r="K2" t="s">
        <v>155</v>
      </c>
    </row>
    <row r="3" spans="1:11">
      <c r="A3" t="s">
        <v>158</v>
      </c>
      <c r="B3">
        <v>-74.7</v>
      </c>
      <c r="C3">
        <v>26.14</v>
      </c>
      <c r="D3">
        <v>1312</v>
      </c>
      <c r="E3">
        <v>2024</v>
      </c>
      <c r="G3">
        <v>-74.8</v>
      </c>
      <c r="H3">
        <v>26.5</v>
      </c>
      <c r="I3">
        <v>100</v>
      </c>
      <c r="J3">
        <v>5.64</v>
      </c>
      <c r="K3">
        <v>1998</v>
      </c>
    </row>
    <row r="4" spans="1:11">
      <c r="A4" t="s">
        <v>158</v>
      </c>
      <c r="B4">
        <v>-74.7</v>
      </c>
      <c r="C4">
        <v>26.14</v>
      </c>
      <c r="D4">
        <v>1312</v>
      </c>
      <c r="E4">
        <v>2024</v>
      </c>
      <c r="G4">
        <v>-74.8</v>
      </c>
      <c r="H4">
        <v>26.5</v>
      </c>
      <c r="I4">
        <v>200</v>
      </c>
      <c r="J4">
        <v>4.97</v>
      </c>
      <c r="K4">
        <v>1998</v>
      </c>
    </row>
    <row r="5" spans="1:11">
      <c r="A5" t="s">
        <v>158</v>
      </c>
      <c r="B5">
        <v>-74.7</v>
      </c>
      <c r="C5">
        <v>26.14</v>
      </c>
      <c r="D5">
        <v>1312</v>
      </c>
      <c r="E5">
        <v>2024</v>
      </c>
      <c r="G5">
        <v>-74.8</v>
      </c>
      <c r="H5">
        <v>26.5</v>
      </c>
      <c r="I5">
        <v>1485</v>
      </c>
      <c r="J5">
        <v>1.89</v>
      </c>
      <c r="K5">
        <v>1998</v>
      </c>
    </row>
    <row r="6" spans="1:11">
      <c r="A6" t="s">
        <v>159</v>
      </c>
      <c r="B6">
        <v>-125</v>
      </c>
      <c r="C6">
        <v>44.582999999999998</v>
      </c>
      <c r="D6">
        <v>2956</v>
      </c>
      <c r="E6">
        <v>2021</v>
      </c>
      <c r="G6">
        <v>-124.57</v>
      </c>
      <c r="H6">
        <v>44.65</v>
      </c>
      <c r="I6">
        <v>108</v>
      </c>
      <c r="J6">
        <v>1.29</v>
      </c>
      <c r="K6">
        <v>2007</v>
      </c>
    </row>
    <row r="7" spans="1:11">
      <c r="A7" t="s">
        <v>161</v>
      </c>
      <c r="B7">
        <v>-36.020000000000003</v>
      </c>
      <c r="C7">
        <v>-31.02</v>
      </c>
      <c r="D7">
        <v>2158</v>
      </c>
      <c r="E7">
        <v>1980</v>
      </c>
      <c r="G7">
        <v>-39.299999999999997</v>
      </c>
      <c r="H7">
        <v>30.207999999999998</v>
      </c>
      <c r="I7">
        <v>108</v>
      </c>
      <c r="J7">
        <v>5.18</v>
      </c>
      <c r="K7">
        <v>1972</v>
      </c>
    </row>
    <row r="8" spans="1:11">
      <c r="A8" t="s">
        <v>161</v>
      </c>
      <c r="B8">
        <v>-36.020000000000003</v>
      </c>
      <c r="C8">
        <v>-31.02</v>
      </c>
      <c r="D8">
        <v>2158</v>
      </c>
      <c r="E8">
        <v>1980</v>
      </c>
      <c r="G8">
        <v>-39.299999999999997</v>
      </c>
      <c r="H8">
        <v>30.207999999999998</v>
      </c>
      <c r="I8">
        <v>213</v>
      </c>
      <c r="J8">
        <v>4.29</v>
      </c>
      <c r="K8">
        <v>1972</v>
      </c>
    </row>
    <row r="9" spans="1:11">
      <c r="A9" t="s">
        <v>161</v>
      </c>
      <c r="B9">
        <v>-36.020000000000003</v>
      </c>
      <c r="C9">
        <v>-31.02</v>
      </c>
      <c r="D9">
        <v>2158</v>
      </c>
      <c r="E9">
        <v>1980</v>
      </c>
      <c r="G9">
        <v>-39.299999999999997</v>
      </c>
      <c r="H9">
        <v>30.207999999999998</v>
      </c>
      <c r="I9">
        <v>2084</v>
      </c>
      <c r="J9">
        <v>1.51</v>
      </c>
      <c r="K9">
        <v>1972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26E8-DE87-AC44-90B8-3DA652E7A09F}">
  <dimension ref="A1:I14"/>
  <sheetViews>
    <sheetView zoomScale="165" workbookViewId="0">
      <selection sqref="A1:XFD1"/>
    </sheetView>
  </sheetViews>
  <sheetFormatPr baseColWidth="10" defaultRowHeight="16"/>
  <sheetData>
    <row r="1" spans="1:9">
      <c r="A1" t="s">
        <v>162</v>
      </c>
      <c r="B1" t="s">
        <v>153</v>
      </c>
      <c r="C1" t="s">
        <v>164</v>
      </c>
      <c r="D1" t="s">
        <v>163</v>
      </c>
      <c r="E1" t="s">
        <v>168</v>
      </c>
      <c r="F1" t="s">
        <v>167</v>
      </c>
      <c r="G1" t="s">
        <v>155</v>
      </c>
      <c r="H1" t="s">
        <v>165</v>
      </c>
      <c r="I1" t="s">
        <v>166</v>
      </c>
    </row>
    <row r="2" spans="1:9">
      <c r="A2">
        <v>44.65</v>
      </c>
      <c r="B2">
        <v>-124.57</v>
      </c>
      <c r="C2">
        <v>6</v>
      </c>
      <c r="D2">
        <v>2.71</v>
      </c>
      <c r="E2">
        <v>29.72</v>
      </c>
      <c r="F2">
        <v>11.7</v>
      </c>
      <c r="G2">
        <v>2007</v>
      </c>
      <c r="H2">
        <v>5</v>
      </c>
      <c r="I2">
        <v>21</v>
      </c>
    </row>
    <row r="3" spans="1:9">
      <c r="A3">
        <v>44.65</v>
      </c>
      <c r="B3">
        <v>-124.57</v>
      </c>
      <c r="C3">
        <v>10</v>
      </c>
      <c r="D3">
        <v>2.64</v>
      </c>
      <c r="E3">
        <v>29.92</v>
      </c>
      <c r="F3">
        <v>11.6</v>
      </c>
      <c r="G3">
        <v>2007</v>
      </c>
      <c r="H3">
        <v>5</v>
      </c>
      <c r="I3">
        <v>21</v>
      </c>
    </row>
    <row r="4" spans="1:9">
      <c r="A4">
        <v>44.65</v>
      </c>
      <c r="B4">
        <v>-124.57</v>
      </c>
      <c r="C4">
        <v>15</v>
      </c>
      <c r="D4">
        <v>2.63</v>
      </c>
      <c r="E4">
        <v>30.15</v>
      </c>
      <c r="F4">
        <v>11.4</v>
      </c>
      <c r="G4">
        <v>2007</v>
      </c>
      <c r="H4">
        <v>5</v>
      </c>
      <c r="I4">
        <v>21</v>
      </c>
    </row>
    <row r="5" spans="1:9">
      <c r="A5">
        <v>44.65</v>
      </c>
      <c r="B5">
        <v>-124.57</v>
      </c>
      <c r="C5">
        <v>20</v>
      </c>
      <c r="D5">
        <v>2.61</v>
      </c>
      <c r="E5">
        <v>30.28</v>
      </c>
      <c r="F5">
        <v>11.3</v>
      </c>
      <c r="G5">
        <v>2007</v>
      </c>
      <c r="H5">
        <v>5</v>
      </c>
      <c r="I5">
        <v>21</v>
      </c>
    </row>
    <row r="6" spans="1:9">
      <c r="A6">
        <v>44.65</v>
      </c>
      <c r="B6">
        <v>-124.57</v>
      </c>
      <c r="C6">
        <v>25</v>
      </c>
      <c r="D6">
        <v>2.04</v>
      </c>
      <c r="E6">
        <v>31.7</v>
      </c>
      <c r="F6">
        <v>10.1</v>
      </c>
      <c r="G6">
        <v>2007</v>
      </c>
      <c r="H6">
        <v>5</v>
      </c>
      <c r="I6">
        <v>21</v>
      </c>
    </row>
    <row r="7" spans="1:9">
      <c r="A7">
        <v>44.65</v>
      </c>
      <c r="B7">
        <v>-124.57</v>
      </c>
      <c r="C7">
        <v>30</v>
      </c>
      <c r="D7">
        <v>1.91</v>
      </c>
      <c r="E7">
        <v>32.33</v>
      </c>
      <c r="F7">
        <v>10.1</v>
      </c>
      <c r="G7">
        <v>2007</v>
      </c>
      <c r="H7">
        <v>5</v>
      </c>
      <c r="I7">
        <v>21</v>
      </c>
    </row>
    <row r="8" spans="1:9">
      <c r="A8">
        <v>44.65</v>
      </c>
      <c r="B8">
        <v>-124.57</v>
      </c>
      <c r="C8">
        <v>40</v>
      </c>
      <c r="D8">
        <v>1.9</v>
      </c>
      <c r="E8">
        <v>32.380000000000003</v>
      </c>
      <c r="F8">
        <v>9.5</v>
      </c>
      <c r="G8">
        <v>2007</v>
      </c>
      <c r="H8">
        <v>5</v>
      </c>
      <c r="I8">
        <v>21</v>
      </c>
    </row>
    <row r="9" spans="1:9">
      <c r="A9">
        <v>44.65</v>
      </c>
      <c r="B9">
        <v>-124.57</v>
      </c>
      <c r="C9">
        <v>50</v>
      </c>
      <c r="D9">
        <v>1.79</v>
      </c>
      <c r="E9">
        <v>32.44</v>
      </c>
      <c r="F9">
        <v>9</v>
      </c>
      <c r="G9">
        <v>2007</v>
      </c>
      <c r="H9">
        <v>5</v>
      </c>
      <c r="I9">
        <v>21</v>
      </c>
    </row>
    <row r="10" spans="1:9">
      <c r="A10">
        <v>44.65</v>
      </c>
      <c r="B10">
        <v>-124.57</v>
      </c>
      <c r="C10">
        <v>60</v>
      </c>
      <c r="D10">
        <v>1.65</v>
      </c>
      <c r="E10">
        <v>32.51</v>
      </c>
      <c r="F10">
        <v>8.9</v>
      </c>
      <c r="G10">
        <v>2007</v>
      </c>
      <c r="H10">
        <v>5</v>
      </c>
      <c r="I10">
        <v>21</v>
      </c>
    </row>
    <row r="11" spans="1:9">
      <c r="A11">
        <v>44.65</v>
      </c>
      <c r="B11">
        <v>-124.57</v>
      </c>
      <c r="C11">
        <v>89</v>
      </c>
      <c r="D11">
        <v>1.05</v>
      </c>
      <c r="E11">
        <v>33.28</v>
      </c>
      <c r="F11">
        <v>8.4</v>
      </c>
      <c r="G11">
        <v>2007</v>
      </c>
      <c r="H11">
        <v>5</v>
      </c>
      <c r="I11">
        <v>21</v>
      </c>
    </row>
    <row r="12" spans="1:9">
      <c r="A12">
        <v>44.65</v>
      </c>
      <c r="B12">
        <v>-124.57</v>
      </c>
      <c r="C12">
        <v>108</v>
      </c>
      <c r="D12">
        <v>0.82</v>
      </c>
      <c r="E12">
        <v>33.74</v>
      </c>
      <c r="F12">
        <v>8</v>
      </c>
      <c r="G12">
        <v>2007</v>
      </c>
      <c r="H12">
        <v>5</v>
      </c>
      <c r="I12">
        <v>21</v>
      </c>
    </row>
    <row r="13" spans="1:9">
      <c r="A13">
        <v>44.65</v>
      </c>
      <c r="B13">
        <v>-124.57</v>
      </c>
      <c r="C13">
        <v>128</v>
      </c>
      <c r="D13">
        <v>0.72</v>
      </c>
      <c r="E13">
        <v>33.94</v>
      </c>
      <c r="F13">
        <v>7.4</v>
      </c>
      <c r="G13">
        <v>2007</v>
      </c>
      <c r="H13">
        <v>5</v>
      </c>
      <c r="I13">
        <v>21</v>
      </c>
    </row>
    <row r="14" spans="1:9">
      <c r="A14">
        <v>44.65</v>
      </c>
      <c r="B14">
        <v>-124.57</v>
      </c>
      <c r="C14">
        <v>156</v>
      </c>
      <c r="D14">
        <v>0.71</v>
      </c>
      <c r="E14">
        <v>33.97</v>
      </c>
      <c r="F14">
        <v>7.1</v>
      </c>
      <c r="G14">
        <v>2007</v>
      </c>
      <c r="H14">
        <v>5</v>
      </c>
      <c r="I14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E028-572B-3246-AD12-59776EC25C9A}">
  <dimension ref="A1:I19"/>
  <sheetViews>
    <sheetView workbookViewId="0">
      <selection activeCell="E15" sqref="E15:F15"/>
    </sheetView>
  </sheetViews>
  <sheetFormatPr baseColWidth="10" defaultRowHeight="16"/>
  <sheetData>
    <row r="1" spans="1:9">
      <c r="A1" t="s">
        <v>162</v>
      </c>
      <c r="B1" t="s">
        <v>153</v>
      </c>
      <c r="C1" t="s">
        <v>164</v>
      </c>
      <c r="D1" t="s">
        <v>163</v>
      </c>
      <c r="E1" t="s">
        <v>168</v>
      </c>
      <c r="F1" t="s">
        <v>167</v>
      </c>
      <c r="G1" t="s">
        <v>155</v>
      </c>
      <c r="H1" t="s">
        <v>165</v>
      </c>
      <c r="I1" t="s">
        <v>166</v>
      </c>
    </row>
    <row r="2" spans="1:9">
      <c r="A2">
        <v>44.65</v>
      </c>
      <c r="B2">
        <v>-125.5</v>
      </c>
      <c r="C2">
        <v>9</v>
      </c>
      <c r="D2">
        <v>2.2599999999999998</v>
      </c>
      <c r="E2">
        <v>30.95</v>
      </c>
      <c r="F2">
        <v>12.1</v>
      </c>
      <c r="G2">
        <v>2007</v>
      </c>
      <c r="H2">
        <v>5</v>
      </c>
      <c r="I2">
        <v>20</v>
      </c>
    </row>
    <row r="3" spans="1:9">
      <c r="A3">
        <v>44.65</v>
      </c>
      <c r="B3">
        <v>-125.5</v>
      </c>
      <c r="C3">
        <v>19</v>
      </c>
      <c r="D3">
        <v>2.09</v>
      </c>
      <c r="E3">
        <v>31.88</v>
      </c>
      <c r="F3">
        <v>10.9</v>
      </c>
      <c r="G3">
        <v>2007</v>
      </c>
      <c r="H3">
        <v>5</v>
      </c>
      <c r="I3">
        <v>20</v>
      </c>
    </row>
    <row r="4" spans="1:9">
      <c r="A4">
        <v>44.65</v>
      </c>
      <c r="B4">
        <v>-125.5</v>
      </c>
      <c r="C4">
        <v>30</v>
      </c>
      <c r="D4">
        <v>2.1</v>
      </c>
      <c r="E4">
        <v>32.35</v>
      </c>
      <c r="F4">
        <v>9.9</v>
      </c>
      <c r="G4">
        <v>2007</v>
      </c>
      <c r="H4">
        <v>5</v>
      </c>
      <c r="I4">
        <v>20</v>
      </c>
    </row>
    <row r="5" spans="1:9">
      <c r="A5">
        <v>44.65</v>
      </c>
      <c r="B5">
        <v>-125.5</v>
      </c>
      <c r="C5">
        <v>40</v>
      </c>
      <c r="D5">
        <v>1.99</v>
      </c>
      <c r="E5">
        <v>32.42</v>
      </c>
      <c r="F5">
        <v>9.5</v>
      </c>
      <c r="G5">
        <v>2007</v>
      </c>
      <c r="H5">
        <v>5</v>
      </c>
      <c r="I5">
        <v>20</v>
      </c>
    </row>
    <row r="6" spans="1:9">
      <c r="A6">
        <v>44.65</v>
      </c>
      <c r="B6">
        <v>-125.5</v>
      </c>
      <c r="C6">
        <v>49</v>
      </c>
      <c r="D6">
        <v>1.77</v>
      </c>
      <c r="E6">
        <v>32.46</v>
      </c>
      <c r="F6">
        <v>9.1999999999999993</v>
      </c>
      <c r="G6">
        <v>2007</v>
      </c>
      <c r="H6">
        <v>5</v>
      </c>
      <c r="I6">
        <v>20</v>
      </c>
    </row>
    <row r="7" spans="1:9">
      <c r="A7">
        <v>44.65</v>
      </c>
      <c r="B7">
        <v>-125.5</v>
      </c>
      <c r="C7">
        <v>59</v>
      </c>
      <c r="D7">
        <v>1.66</v>
      </c>
      <c r="E7">
        <v>32.51</v>
      </c>
      <c r="F7">
        <v>9</v>
      </c>
      <c r="G7">
        <v>2007</v>
      </c>
      <c r="H7">
        <v>5</v>
      </c>
      <c r="I7">
        <v>20</v>
      </c>
    </row>
    <row r="8" spans="1:9">
      <c r="A8">
        <v>44.65</v>
      </c>
      <c r="B8">
        <v>-125.5</v>
      </c>
      <c r="C8">
        <v>69</v>
      </c>
      <c r="D8">
        <v>1.68</v>
      </c>
      <c r="E8">
        <v>32.69</v>
      </c>
      <c r="F8">
        <v>9.1</v>
      </c>
      <c r="G8">
        <v>2007</v>
      </c>
      <c r="H8">
        <v>5</v>
      </c>
      <c r="I8">
        <v>20</v>
      </c>
    </row>
    <row r="9" spans="1:9">
      <c r="A9">
        <v>44.65</v>
      </c>
      <c r="B9">
        <v>-125.5</v>
      </c>
      <c r="C9">
        <v>90</v>
      </c>
      <c r="D9">
        <v>1.54</v>
      </c>
      <c r="E9">
        <v>33.31</v>
      </c>
      <c r="F9">
        <v>9</v>
      </c>
      <c r="G9">
        <v>2007</v>
      </c>
      <c r="H9">
        <v>5</v>
      </c>
      <c r="I9">
        <v>20</v>
      </c>
    </row>
    <row r="10" spans="1:9">
      <c r="A10">
        <v>44.65</v>
      </c>
      <c r="B10">
        <v>-125.5</v>
      </c>
      <c r="C10">
        <v>109</v>
      </c>
      <c r="D10">
        <v>1.1599999999999999</v>
      </c>
      <c r="E10">
        <v>33.58</v>
      </c>
      <c r="F10">
        <v>8.6999999999999993</v>
      </c>
      <c r="G10">
        <v>2007</v>
      </c>
      <c r="H10">
        <v>5</v>
      </c>
      <c r="I10">
        <v>20</v>
      </c>
    </row>
    <row r="11" spans="1:9">
      <c r="A11">
        <v>44.65</v>
      </c>
      <c r="B11">
        <v>-125.5</v>
      </c>
      <c r="C11">
        <v>128</v>
      </c>
      <c r="D11">
        <v>0.8</v>
      </c>
      <c r="E11">
        <v>33.78</v>
      </c>
      <c r="F11">
        <v>8.4</v>
      </c>
      <c r="G11">
        <v>2007</v>
      </c>
      <c r="H11">
        <v>5</v>
      </c>
      <c r="I11">
        <v>20</v>
      </c>
    </row>
    <row r="12" spans="1:9">
      <c r="A12">
        <v>44.65</v>
      </c>
      <c r="B12">
        <v>-125.5</v>
      </c>
      <c r="C12">
        <v>148</v>
      </c>
      <c r="D12">
        <v>0.88</v>
      </c>
      <c r="E12">
        <v>33.880000000000003</v>
      </c>
      <c r="F12">
        <v>8.1</v>
      </c>
      <c r="G12">
        <v>2007</v>
      </c>
      <c r="H12">
        <v>5</v>
      </c>
      <c r="I12">
        <v>20</v>
      </c>
    </row>
    <row r="13" spans="1:9">
      <c r="A13">
        <v>44.65</v>
      </c>
      <c r="B13">
        <v>-125.5</v>
      </c>
      <c r="C13">
        <v>174</v>
      </c>
      <c r="D13">
        <v>0.8</v>
      </c>
      <c r="E13">
        <v>33.94</v>
      </c>
      <c r="F13">
        <v>7.7</v>
      </c>
      <c r="G13">
        <v>2007</v>
      </c>
      <c r="H13">
        <v>5</v>
      </c>
      <c r="I13">
        <v>20</v>
      </c>
    </row>
    <row r="14" spans="1:9">
      <c r="A14">
        <v>44.65</v>
      </c>
      <c r="B14">
        <v>-125.5</v>
      </c>
      <c r="C14">
        <v>199</v>
      </c>
      <c r="D14">
        <v>0.73</v>
      </c>
      <c r="E14">
        <v>33.97</v>
      </c>
      <c r="F14">
        <v>7.5</v>
      </c>
      <c r="G14">
        <v>2007</v>
      </c>
      <c r="H14">
        <v>5</v>
      </c>
      <c r="I14">
        <v>20</v>
      </c>
    </row>
    <row r="15" spans="1:9">
      <c r="A15">
        <v>44.65</v>
      </c>
      <c r="B15">
        <v>-125.5</v>
      </c>
      <c r="C15">
        <v>246</v>
      </c>
      <c r="D15">
        <v>0.72</v>
      </c>
      <c r="E15">
        <v>34.01</v>
      </c>
      <c r="F15">
        <v>7</v>
      </c>
      <c r="G15">
        <v>2007</v>
      </c>
      <c r="H15">
        <v>5</v>
      </c>
      <c r="I15">
        <v>20</v>
      </c>
    </row>
    <row r="16" spans="1:9">
      <c r="A16">
        <v>44.65</v>
      </c>
      <c r="B16">
        <v>-125.5</v>
      </c>
      <c r="C16">
        <v>348</v>
      </c>
      <c r="D16">
        <v>0.62</v>
      </c>
      <c r="E16">
        <v>34.04</v>
      </c>
      <c r="F16">
        <v>6.2</v>
      </c>
      <c r="G16">
        <v>2007</v>
      </c>
      <c r="H16">
        <v>5</v>
      </c>
      <c r="I16">
        <v>20</v>
      </c>
    </row>
    <row r="17" spans="1:9">
      <c r="A17">
        <v>44.65</v>
      </c>
      <c r="B17">
        <v>-125.5</v>
      </c>
      <c r="C17">
        <v>792</v>
      </c>
      <c r="D17">
        <v>0.5</v>
      </c>
      <c r="E17">
        <v>34.33</v>
      </c>
      <c r="F17">
        <v>4.0999999999999996</v>
      </c>
      <c r="G17">
        <v>2007</v>
      </c>
      <c r="H17">
        <v>5</v>
      </c>
      <c r="I17">
        <v>20</v>
      </c>
    </row>
    <row r="18" spans="1:9">
      <c r="A18">
        <v>44.65</v>
      </c>
      <c r="B18">
        <v>-125.5</v>
      </c>
      <c r="C18">
        <v>1974</v>
      </c>
      <c r="D18">
        <v>0.54</v>
      </c>
      <c r="E18">
        <v>34.6</v>
      </c>
      <c r="F18">
        <v>1.9</v>
      </c>
      <c r="G18">
        <v>2007</v>
      </c>
      <c r="H18">
        <v>5</v>
      </c>
      <c r="I18">
        <v>20</v>
      </c>
    </row>
    <row r="19" spans="1:9">
      <c r="A19">
        <v>44.65</v>
      </c>
      <c r="B19">
        <v>-125.5</v>
      </c>
      <c r="C19">
        <v>2838</v>
      </c>
      <c r="D19">
        <v>0.51</v>
      </c>
      <c r="E19">
        <v>34.65</v>
      </c>
      <c r="F19">
        <v>1.7</v>
      </c>
      <c r="G19">
        <v>2007</v>
      </c>
      <c r="H19">
        <v>5</v>
      </c>
      <c r="I19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9DFA-52BC-1B42-8DE6-D46F5D3105DE}">
  <dimension ref="A1:M14"/>
  <sheetViews>
    <sheetView topLeftCell="B1" zoomScale="143" workbookViewId="0">
      <selection activeCell="M10" sqref="M10"/>
    </sheetView>
  </sheetViews>
  <sheetFormatPr baseColWidth="10" defaultRowHeight="16"/>
  <sheetData>
    <row r="1" spans="1:13">
      <c r="A1" t="s">
        <v>162</v>
      </c>
      <c r="B1" t="s">
        <v>153</v>
      </c>
      <c r="C1" t="s">
        <v>164</v>
      </c>
      <c r="D1" t="s">
        <v>163</v>
      </c>
      <c r="E1" t="s">
        <v>168</v>
      </c>
      <c r="F1" t="s">
        <v>167</v>
      </c>
      <c r="G1" t="s">
        <v>155</v>
      </c>
      <c r="H1" t="s">
        <v>165</v>
      </c>
      <c r="I1" t="s">
        <v>166</v>
      </c>
      <c r="K1" t="s">
        <v>176</v>
      </c>
      <c r="L1" t="s">
        <v>177</v>
      </c>
      <c r="M1" t="s">
        <v>178</v>
      </c>
    </row>
    <row r="2" spans="1:13">
      <c r="A2">
        <v>26.5</v>
      </c>
      <c r="B2">
        <v>-74.8</v>
      </c>
      <c r="C2">
        <v>7</v>
      </c>
      <c r="D2">
        <v>3.93</v>
      </c>
      <c r="E2">
        <v>36.57</v>
      </c>
      <c r="F2">
        <v>26.18</v>
      </c>
      <c r="G2">
        <v>2015</v>
      </c>
      <c r="H2">
        <v>12</v>
      </c>
      <c r="I2">
        <v>19</v>
      </c>
      <c r="K2">
        <f>SLOPE(D3:D4,C3:C4)</f>
        <v>-3.983739837398372E-3</v>
      </c>
      <c r="L2">
        <f>INTERCEPT(D3:D4,C3:C4)</f>
        <v>3.8571544715447157</v>
      </c>
      <c r="M2" t="s">
        <v>179</v>
      </c>
    </row>
    <row r="3" spans="1:13">
      <c r="A3">
        <v>26.5</v>
      </c>
      <c r="B3">
        <v>-74.8</v>
      </c>
      <c r="C3">
        <v>52</v>
      </c>
      <c r="D3">
        <v>3.65</v>
      </c>
      <c r="E3">
        <v>36.590000000000003</v>
      </c>
      <c r="F3">
        <v>26.12</v>
      </c>
      <c r="G3">
        <v>2015</v>
      </c>
      <c r="H3">
        <v>12</v>
      </c>
      <c r="I3">
        <v>19</v>
      </c>
      <c r="M3">
        <f>(K2*80)+L2</f>
        <v>3.5384552845528461</v>
      </c>
    </row>
    <row r="4" spans="1:13">
      <c r="A4">
        <v>26.5</v>
      </c>
      <c r="B4">
        <v>-74.8</v>
      </c>
      <c r="C4">
        <v>175</v>
      </c>
      <c r="D4">
        <v>3.16</v>
      </c>
      <c r="E4">
        <v>36.770000000000003</v>
      </c>
      <c r="F4">
        <v>21.49</v>
      </c>
      <c r="G4">
        <v>2015</v>
      </c>
      <c r="H4">
        <v>12</v>
      </c>
      <c r="I4">
        <v>19</v>
      </c>
    </row>
    <row r="5" spans="1:13">
      <c r="A5">
        <v>26.5</v>
      </c>
      <c r="B5">
        <v>-74.8</v>
      </c>
      <c r="C5">
        <v>499</v>
      </c>
      <c r="D5">
        <v>2.34</v>
      </c>
      <c r="E5">
        <v>36.18</v>
      </c>
      <c r="F5">
        <v>16.010000000000002</v>
      </c>
      <c r="G5">
        <v>2015</v>
      </c>
      <c r="H5">
        <v>12</v>
      </c>
      <c r="I5">
        <v>19</v>
      </c>
      <c r="K5">
        <f>SLOPE(F3:F4,C3:C4)</f>
        <v>-3.764227642276425E-2</v>
      </c>
      <c r="L5">
        <f>INTERCEPT(F3:F4,C3:C4)</f>
        <v>28.07739837398374</v>
      </c>
    </row>
    <row r="6" spans="1:13">
      <c r="A6">
        <v>26.5</v>
      </c>
      <c r="B6">
        <v>-74.8</v>
      </c>
      <c r="C6">
        <v>751</v>
      </c>
      <c r="D6">
        <v>1.34</v>
      </c>
      <c r="E6">
        <v>35.33</v>
      </c>
      <c r="F6">
        <v>10.39</v>
      </c>
      <c r="G6">
        <v>2015</v>
      </c>
      <c r="H6">
        <v>12</v>
      </c>
      <c r="I6">
        <v>19</v>
      </c>
      <c r="M6">
        <f>(K5*80)+L5</f>
        <v>25.066016260162602</v>
      </c>
    </row>
    <row r="7" spans="1:13">
      <c r="A7">
        <v>26.5</v>
      </c>
      <c r="B7">
        <v>-74.8</v>
      </c>
      <c r="C7">
        <v>1001</v>
      </c>
      <c r="D7">
        <v>1.21</v>
      </c>
      <c r="E7">
        <v>35.08</v>
      </c>
      <c r="F7">
        <v>6.53</v>
      </c>
      <c r="G7">
        <v>2015</v>
      </c>
      <c r="H7">
        <v>12</v>
      </c>
      <c r="I7">
        <v>19</v>
      </c>
    </row>
    <row r="8" spans="1:13">
      <c r="A8">
        <v>26.5</v>
      </c>
      <c r="B8">
        <v>-74.8</v>
      </c>
      <c r="C8">
        <v>1507</v>
      </c>
      <c r="D8">
        <v>1.19</v>
      </c>
      <c r="E8">
        <v>34.99</v>
      </c>
      <c r="F8">
        <v>4.03</v>
      </c>
      <c r="G8">
        <v>2015</v>
      </c>
      <c r="H8">
        <v>12</v>
      </c>
      <c r="I8">
        <v>19</v>
      </c>
    </row>
    <row r="9" spans="1:13">
      <c r="A9">
        <v>26.5</v>
      </c>
      <c r="B9">
        <v>-74.8</v>
      </c>
      <c r="C9">
        <v>2007</v>
      </c>
      <c r="D9">
        <v>1.1299999999999999</v>
      </c>
      <c r="E9">
        <v>34.96</v>
      </c>
      <c r="F9">
        <v>3.53</v>
      </c>
      <c r="G9">
        <v>2015</v>
      </c>
      <c r="H9">
        <v>12</v>
      </c>
      <c r="I9">
        <v>19</v>
      </c>
      <c r="K9">
        <f>SLOPE(E3:E4,C3:C4)</f>
        <v>1.4634146341463391E-3</v>
      </c>
      <c r="L9">
        <f>INTERCEPT(E3:E4,C3:C4)</f>
        <v>36.513902439024399</v>
      </c>
    </row>
    <row r="10" spans="1:13">
      <c r="A10">
        <v>26.5</v>
      </c>
      <c r="B10">
        <v>-74.8</v>
      </c>
      <c r="C10">
        <v>3015</v>
      </c>
      <c r="D10">
        <v>0.89</v>
      </c>
      <c r="E10">
        <v>34.92</v>
      </c>
      <c r="F10">
        <v>2.61</v>
      </c>
      <c r="G10">
        <v>2015</v>
      </c>
      <c r="H10">
        <v>12</v>
      </c>
      <c r="I10">
        <v>19</v>
      </c>
      <c r="M10">
        <f>(K9*80)+L9</f>
        <v>36.630975609756106</v>
      </c>
    </row>
    <row r="11" spans="1:13">
      <c r="A11">
        <v>26.5</v>
      </c>
      <c r="B11">
        <v>-74.8</v>
      </c>
      <c r="C11">
        <v>3516</v>
      </c>
      <c r="D11">
        <v>0.8</v>
      </c>
      <c r="E11">
        <v>34.9</v>
      </c>
      <c r="F11">
        <v>2.3199999999999998</v>
      </c>
      <c r="G11">
        <v>2015</v>
      </c>
      <c r="H11">
        <v>12</v>
      </c>
      <c r="I11">
        <v>19</v>
      </c>
    </row>
    <row r="12" spans="1:13">
      <c r="A12">
        <v>26.5</v>
      </c>
      <c r="B12">
        <v>-74.8</v>
      </c>
      <c r="C12">
        <v>4019</v>
      </c>
      <c r="D12">
        <v>0.75</v>
      </c>
      <c r="E12">
        <v>34.89</v>
      </c>
      <c r="F12">
        <v>2.23</v>
      </c>
      <c r="G12">
        <v>2015</v>
      </c>
      <c r="H12">
        <v>12</v>
      </c>
      <c r="I12">
        <v>19</v>
      </c>
    </row>
    <row r="13" spans="1:13">
      <c r="A13">
        <v>26.5</v>
      </c>
      <c r="B13">
        <v>-74.8</v>
      </c>
      <c r="C13">
        <v>4503</v>
      </c>
      <c r="D13">
        <v>0.68</v>
      </c>
      <c r="E13">
        <v>34.869999999999997</v>
      </c>
      <c r="F13">
        <v>2.13</v>
      </c>
      <c r="G13">
        <v>2015</v>
      </c>
      <c r="H13">
        <v>12</v>
      </c>
      <c r="I13">
        <v>19</v>
      </c>
    </row>
    <row r="14" spans="1:13">
      <c r="A14">
        <v>26.5</v>
      </c>
      <c r="B14">
        <v>-74.8</v>
      </c>
      <c r="C14">
        <v>4522</v>
      </c>
      <c r="D14">
        <v>0.66</v>
      </c>
      <c r="E14">
        <v>34.869999999999997</v>
      </c>
      <c r="F14">
        <v>2.13</v>
      </c>
      <c r="G14">
        <v>2015</v>
      </c>
      <c r="H14">
        <v>12</v>
      </c>
      <c r="I14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3C6A-0DB6-E84A-83DE-01D1F8DAAE53}">
  <dimension ref="A1:I32"/>
  <sheetViews>
    <sheetView workbookViewId="0">
      <selection activeCell="E26" sqref="E26:F26"/>
    </sheetView>
  </sheetViews>
  <sheetFormatPr baseColWidth="10" defaultRowHeight="16"/>
  <sheetData>
    <row r="1" spans="1:9">
      <c r="A1" t="s">
        <v>162</v>
      </c>
      <c r="B1" t="s">
        <v>153</v>
      </c>
      <c r="C1" t="s">
        <v>164</v>
      </c>
      <c r="D1" t="s">
        <v>163</v>
      </c>
      <c r="E1" t="s">
        <v>168</v>
      </c>
      <c r="F1" t="s">
        <v>167</v>
      </c>
      <c r="G1" t="s">
        <v>155</v>
      </c>
      <c r="H1" t="s">
        <v>165</v>
      </c>
      <c r="I1" t="s">
        <v>166</v>
      </c>
    </row>
    <row r="2" spans="1:9">
      <c r="A2">
        <v>-30.675000000000001</v>
      </c>
      <c r="B2">
        <v>-38.966999999999999</v>
      </c>
      <c r="C2">
        <v>8</v>
      </c>
      <c r="D2">
        <v>3.61</v>
      </c>
      <c r="E2">
        <v>36.69</v>
      </c>
      <c r="F2">
        <v>19.37</v>
      </c>
      <c r="G2">
        <v>1973</v>
      </c>
      <c r="H2">
        <v>3</v>
      </c>
      <c r="I2">
        <v>20</v>
      </c>
    </row>
    <row r="3" spans="1:9">
      <c r="A3">
        <v>-30.675000000000001</v>
      </c>
      <c r="B3">
        <v>-38.966999999999999</v>
      </c>
      <c r="C3">
        <v>89</v>
      </c>
      <c r="D3">
        <v>3.62</v>
      </c>
      <c r="E3">
        <v>36.68</v>
      </c>
      <c r="F3">
        <v>19.260000000000002</v>
      </c>
      <c r="G3">
        <v>1973</v>
      </c>
      <c r="H3">
        <v>3</v>
      </c>
      <c r="I3">
        <v>20</v>
      </c>
    </row>
    <row r="4" spans="1:9">
      <c r="A4">
        <v>-30.675000000000001</v>
      </c>
      <c r="B4">
        <v>-38.966999999999999</v>
      </c>
      <c r="C4">
        <v>138</v>
      </c>
      <c r="D4">
        <v>3.46</v>
      </c>
      <c r="E4">
        <v>36.659999999999997</v>
      </c>
      <c r="F4">
        <v>18.95</v>
      </c>
      <c r="G4">
        <v>1973</v>
      </c>
      <c r="H4">
        <v>3</v>
      </c>
      <c r="I4">
        <v>20</v>
      </c>
    </row>
    <row r="5" spans="1:9">
      <c r="A5">
        <v>-30.675000000000001</v>
      </c>
      <c r="B5">
        <v>-38.966999999999999</v>
      </c>
      <c r="C5">
        <v>158</v>
      </c>
      <c r="D5">
        <v>3.39</v>
      </c>
      <c r="E5">
        <v>36.619999999999997</v>
      </c>
      <c r="F5">
        <v>18.79</v>
      </c>
      <c r="G5">
        <v>1973</v>
      </c>
      <c r="H5">
        <v>3</v>
      </c>
      <c r="I5">
        <v>20</v>
      </c>
    </row>
    <row r="6" spans="1:9">
      <c r="A6">
        <v>-30.675000000000001</v>
      </c>
      <c r="B6">
        <v>-38.966999999999999</v>
      </c>
      <c r="C6">
        <v>188</v>
      </c>
      <c r="D6">
        <v>3.16</v>
      </c>
      <c r="E6">
        <v>36.53</v>
      </c>
      <c r="F6">
        <v>18.09</v>
      </c>
      <c r="G6">
        <v>1973</v>
      </c>
      <c r="H6">
        <v>3</v>
      </c>
      <c r="I6">
        <v>20</v>
      </c>
    </row>
    <row r="7" spans="1:9">
      <c r="A7">
        <v>-30.675000000000001</v>
      </c>
      <c r="B7">
        <v>-38.966999999999999</v>
      </c>
      <c r="C7">
        <v>259</v>
      </c>
      <c r="D7">
        <v>3.03</v>
      </c>
      <c r="E7">
        <v>36.450000000000003</v>
      </c>
      <c r="F7">
        <v>17.43</v>
      </c>
      <c r="G7">
        <v>1973</v>
      </c>
      <c r="H7">
        <v>3</v>
      </c>
      <c r="I7">
        <v>20</v>
      </c>
    </row>
    <row r="8" spans="1:9">
      <c r="A8">
        <v>-30.675000000000001</v>
      </c>
      <c r="B8">
        <v>-38.966999999999999</v>
      </c>
      <c r="C8">
        <v>340</v>
      </c>
      <c r="D8">
        <v>2.88</v>
      </c>
      <c r="E8">
        <v>36.340000000000003</v>
      </c>
      <c r="F8">
        <v>16.600000000000001</v>
      </c>
      <c r="G8">
        <v>1973</v>
      </c>
      <c r="H8">
        <v>3</v>
      </c>
      <c r="I8">
        <v>20</v>
      </c>
    </row>
    <row r="9" spans="1:9">
      <c r="A9">
        <v>-30.675000000000001</v>
      </c>
      <c r="B9">
        <v>-38.966999999999999</v>
      </c>
      <c r="C9">
        <v>539</v>
      </c>
      <c r="D9">
        <v>2.36</v>
      </c>
      <c r="E9">
        <v>35.869999999999997</v>
      </c>
      <c r="F9">
        <v>13.9</v>
      </c>
      <c r="G9">
        <v>1973</v>
      </c>
      <c r="H9">
        <v>3</v>
      </c>
      <c r="I9">
        <v>20</v>
      </c>
    </row>
    <row r="10" spans="1:9">
      <c r="A10">
        <v>-30.675000000000001</v>
      </c>
      <c r="B10">
        <v>-38.966999999999999</v>
      </c>
      <c r="C10">
        <v>640</v>
      </c>
      <c r="D10">
        <v>2.09</v>
      </c>
      <c r="E10">
        <v>35.71</v>
      </c>
      <c r="F10">
        <v>12.72</v>
      </c>
      <c r="G10">
        <v>1973</v>
      </c>
      <c r="H10">
        <v>3</v>
      </c>
      <c r="I10">
        <v>20</v>
      </c>
    </row>
    <row r="11" spans="1:9">
      <c r="A11">
        <v>-30.675000000000001</v>
      </c>
      <c r="B11">
        <v>-38.966999999999999</v>
      </c>
      <c r="C11">
        <v>690</v>
      </c>
      <c r="D11">
        <v>1.9</v>
      </c>
      <c r="E11">
        <v>35.6</v>
      </c>
      <c r="F11">
        <v>11.9</v>
      </c>
      <c r="G11">
        <v>1973</v>
      </c>
      <c r="H11">
        <v>3</v>
      </c>
      <c r="I11">
        <v>20</v>
      </c>
    </row>
    <row r="12" spans="1:9">
      <c r="A12">
        <v>-30.675000000000001</v>
      </c>
      <c r="B12">
        <v>-38.966999999999999</v>
      </c>
      <c r="C12">
        <v>741</v>
      </c>
      <c r="D12">
        <v>1.8</v>
      </c>
      <c r="E12">
        <v>35.51</v>
      </c>
      <c r="F12">
        <v>11.09</v>
      </c>
      <c r="G12">
        <v>1973</v>
      </c>
      <c r="H12">
        <v>3</v>
      </c>
      <c r="I12">
        <v>20</v>
      </c>
    </row>
    <row r="13" spans="1:9">
      <c r="A13">
        <v>-30.675000000000001</v>
      </c>
      <c r="B13">
        <v>-38.966999999999999</v>
      </c>
      <c r="C13">
        <v>800</v>
      </c>
      <c r="D13">
        <v>1.66</v>
      </c>
      <c r="E13">
        <v>35.42</v>
      </c>
      <c r="F13">
        <v>10.32</v>
      </c>
      <c r="G13">
        <v>1973</v>
      </c>
      <c r="H13">
        <v>3</v>
      </c>
      <c r="I13">
        <v>20</v>
      </c>
    </row>
    <row r="14" spans="1:9">
      <c r="A14">
        <v>-30.675000000000001</v>
      </c>
      <c r="B14">
        <v>-38.966999999999999</v>
      </c>
      <c r="C14">
        <v>851</v>
      </c>
      <c r="D14">
        <v>1.55</v>
      </c>
      <c r="E14">
        <v>35.380000000000003</v>
      </c>
      <c r="F14">
        <v>9.83</v>
      </c>
      <c r="G14">
        <v>1973</v>
      </c>
      <c r="H14">
        <v>3</v>
      </c>
      <c r="I14">
        <v>20</v>
      </c>
    </row>
    <row r="15" spans="1:9">
      <c r="A15">
        <v>-30.675000000000001</v>
      </c>
      <c r="B15">
        <v>-38.966999999999999</v>
      </c>
      <c r="C15">
        <v>902</v>
      </c>
      <c r="D15">
        <v>1.45</v>
      </c>
      <c r="E15">
        <v>35.31</v>
      </c>
      <c r="F15">
        <v>9</v>
      </c>
      <c r="G15">
        <v>1973</v>
      </c>
      <c r="H15">
        <v>3</v>
      </c>
      <c r="I15">
        <v>20</v>
      </c>
    </row>
    <row r="16" spans="1:9">
      <c r="A16">
        <v>-30.675000000000001</v>
      </c>
      <c r="B16">
        <v>-38.966999999999999</v>
      </c>
      <c r="C16">
        <v>952</v>
      </c>
      <c r="D16">
        <v>1.41</v>
      </c>
      <c r="E16">
        <v>35.28</v>
      </c>
      <c r="F16">
        <v>8.35</v>
      </c>
      <c r="G16">
        <v>1973</v>
      </c>
      <c r="H16">
        <v>3</v>
      </c>
      <c r="I16">
        <v>20</v>
      </c>
    </row>
    <row r="17" spans="1:9">
      <c r="A17">
        <v>-30.675000000000001</v>
      </c>
      <c r="B17">
        <v>-38.966999999999999</v>
      </c>
      <c r="C17">
        <v>1002</v>
      </c>
      <c r="D17">
        <v>1.42</v>
      </c>
      <c r="E17">
        <v>35.29</v>
      </c>
      <c r="F17">
        <v>7.86</v>
      </c>
      <c r="G17">
        <v>1973</v>
      </c>
      <c r="H17">
        <v>3</v>
      </c>
      <c r="I17">
        <v>20</v>
      </c>
    </row>
    <row r="18" spans="1:9">
      <c r="A18">
        <v>-30.675000000000001</v>
      </c>
      <c r="B18">
        <v>-38.966999999999999</v>
      </c>
      <c r="C18">
        <v>1052</v>
      </c>
      <c r="D18">
        <v>1.37</v>
      </c>
      <c r="E18">
        <v>35.29</v>
      </c>
      <c r="F18">
        <v>7.55</v>
      </c>
      <c r="G18">
        <v>1973</v>
      </c>
      <c r="H18">
        <v>3</v>
      </c>
      <c r="I18">
        <v>20</v>
      </c>
    </row>
    <row r="19" spans="1:9">
      <c r="A19">
        <v>-30.675000000000001</v>
      </c>
      <c r="B19">
        <v>-38.966999999999999</v>
      </c>
      <c r="C19">
        <v>1152</v>
      </c>
      <c r="D19">
        <v>1.35</v>
      </c>
      <c r="E19">
        <v>35.26</v>
      </c>
      <c r="F19">
        <v>6.97</v>
      </c>
      <c r="G19">
        <v>1973</v>
      </c>
      <c r="H19">
        <v>3</v>
      </c>
      <c r="I19">
        <v>20</v>
      </c>
    </row>
    <row r="20" spans="1:9">
      <c r="A20">
        <v>-30.675000000000001</v>
      </c>
      <c r="B20">
        <v>-38.966999999999999</v>
      </c>
      <c r="C20">
        <v>1285</v>
      </c>
      <c r="D20">
        <v>1.37</v>
      </c>
      <c r="E20">
        <v>35.24</v>
      </c>
      <c r="F20">
        <v>6.15</v>
      </c>
      <c r="G20">
        <v>1973</v>
      </c>
      <c r="H20">
        <v>3</v>
      </c>
      <c r="I20">
        <v>20</v>
      </c>
    </row>
    <row r="21" spans="1:9">
      <c r="A21">
        <v>-30.675000000000001</v>
      </c>
      <c r="B21">
        <v>-38.966999999999999</v>
      </c>
      <c r="C21">
        <v>1403</v>
      </c>
      <c r="D21">
        <v>1.32</v>
      </c>
      <c r="E21">
        <v>35.19</v>
      </c>
      <c r="F21">
        <v>5.55</v>
      </c>
      <c r="G21">
        <v>1973</v>
      </c>
      <c r="H21">
        <v>3</v>
      </c>
      <c r="I21">
        <v>20</v>
      </c>
    </row>
    <row r="22" spans="1:9">
      <c r="A22">
        <v>-30.675000000000001</v>
      </c>
      <c r="B22">
        <v>-38.966999999999999</v>
      </c>
      <c r="C22">
        <v>1503</v>
      </c>
      <c r="D22">
        <v>1.32</v>
      </c>
      <c r="E22">
        <v>35.17</v>
      </c>
      <c r="F22">
        <v>5.21</v>
      </c>
      <c r="G22">
        <v>1973</v>
      </c>
      <c r="H22">
        <v>3</v>
      </c>
      <c r="I22">
        <v>20</v>
      </c>
    </row>
    <row r="23" spans="1:9">
      <c r="A23">
        <v>-30.675000000000001</v>
      </c>
      <c r="B23">
        <v>-38.966999999999999</v>
      </c>
      <c r="C23">
        <v>1576</v>
      </c>
      <c r="D23">
        <v>1.24</v>
      </c>
      <c r="E23">
        <v>35.19</v>
      </c>
      <c r="F23">
        <v>5.0199999999999996</v>
      </c>
      <c r="G23">
        <v>1973</v>
      </c>
      <c r="H23">
        <v>3</v>
      </c>
      <c r="I23">
        <v>20</v>
      </c>
    </row>
    <row r="24" spans="1:9">
      <c r="A24">
        <v>-30.675000000000001</v>
      </c>
      <c r="B24">
        <v>-38.966999999999999</v>
      </c>
      <c r="C24">
        <v>1687</v>
      </c>
      <c r="D24">
        <v>1.27</v>
      </c>
      <c r="E24">
        <v>35.130000000000003</v>
      </c>
      <c r="F24">
        <v>4.6500000000000004</v>
      </c>
      <c r="G24">
        <v>1973</v>
      </c>
      <c r="H24">
        <v>3</v>
      </c>
      <c r="I24">
        <v>20</v>
      </c>
    </row>
    <row r="25" spans="1:9">
      <c r="A25">
        <v>-30.675000000000001</v>
      </c>
      <c r="B25">
        <v>-38.966999999999999</v>
      </c>
      <c r="C25">
        <v>1887</v>
      </c>
      <c r="D25">
        <v>1.19</v>
      </c>
      <c r="E25">
        <v>35.08</v>
      </c>
      <c r="F25">
        <v>4.16</v>
      </c>
      <c r="G25">
        <v>1973</v>
      </c>
      <c r="H25">
        <v>3</v>
      </c>
      <c r="I25">
        <v>20</v>
      </c>
    </row>
    <row r="26" spans="1:9">
      <c r="A26">
        <v>-30.675000000000001</v>
      </c>
      <c r="B26">
        <v>-38.966999999999999</v>
      </c>
      <c r="C26">
        <v>2089</v>
      </c>
      <c r="D26">
        <v>1.1399999999999999</v>
      </c>
      <c r="E26">
        <v>35.020000000000003</v>
      </c>
      <c r="F26">
        <v>3.66</v>
      </c>
      <c r="G26">
        <v>1973</v>
      </c>
      <c r="H26">
        <v>3</v>
      </c>
      <c r="I26">
        <v>20</v>
      </c>
    </row>
    <row r="27" spans="1:9">
      <c r="A27">
        <v>-30.675000000000001</v>
      </c>
      <c r="B27">
        <v>-38.966999999999999</v>
      </c>
      <c r="C27">
        <v>2493</v>
      </c>
      <c r="D27">
        <v>1.05</v>
      </c>
      <c r="E27">
        <v>34.97</v>
      </c>
      <c r="F27">
        <v>3.13</v>
      </c>
      <c r="G27">
        <v>1973</v>
      </c>
      <c r="H27">
        <v>3</v>
      </c>
      <c r="I27">
        <v>20</v>
      </c>
    </row>
    <row r="28" spans="1:9">
      <c r="A28">
        <v>-30.675000000000001</v>
      </c>
      <c r="B28">
        <v>-38.966999999999999</v>
      </c>
      <c r="C28">
        <v>2745</v>
      </c>
      <c r="D28">
        <v>0.96</v>
      </c>
      <c r="E28">
        <v>34.950000000000003</v>
      </c>
      <c r="F28">
        <v>2.97</v>
      </c>
      <c r="G28">
        <v>1973</v>
      </c>
      <c r="H28">
        <v>3</v>
      </c>
      <c r="I28">
        <v>20</v>
      </c>
    </row>
    <row r="29" spans="1:9">
      <c r="A29">
        <v>-30.675000000000001</v>
      </c>
      <c r="B29">
        <v>-38.966999999999999</v>
      </c>
      <c r="C29">
        <v>2998</v>
      </c>
      <c r="D29">
        <v>0.88</v>
      </c>
      <c r="E29">
        <v>34.94</v>
      </c>
      <c r="F29">
        <v>2.85</v>
      </c>
      <c r="G29">
        <v>1973</v>
      </c>
      <c r="H29">
        <v>3</v>
      </c>
      <c r="I29">
        <v>20</v>
      </c>
    </row>
    <row r="30" spans="1:9">
      <c r="A30">
        <v>-30.675000000000001</v>
      </c>
      <c r="B30">
        <v>-38.966999999999999</v>
      </c>
      <c r="C30">
        <v>3246</v>
      </c>
      <c r="D30">
        <v>0.85</v>
      </c>
      <c r="E30">
        <v>34.94</v>
      </c>
      <c r="F30">
        <v>2.77</v>
      </c>
      <c r="G30">
        <v>1973</v>
      </c>
      <c r="H30">
        <v>3</v>
      </c>
      <c r="I30">
        <v>20</v>
      </c>
    </row>
    <row r="31" spans="1:9">
      <c r="A31">
        <v>-30.675000000000001</v>
      </c>
      <c r="B31">
        <v>-38.966999999999999</v>
      </c>
      <c r="C31">
        <v>3498</v>
      </c>
      <c r="D31">
        <v>0.82</v>
      </c>
      <c r="E31">
        <v>34.93</v>
      </c>
      <c r="F31">
        <v>2.41</v>
      </c>
      <c r="G31">
        <v>1973</v>
      </c>
      <c r="H31">
        <v>3</v>
      </c>
      <c r="I31">
        <v>20</v>
      </c>
    </row>
    <row r="32" spans="1:9">
      <c r="A32">
        <v>-30.675000000000001</v>
      </c>
      <c r="B32">
        <v>-38.966999999999999</v>
      </c>
      <c r="C32">
        <v>3565</v>
      </c>
      <c r="D32">
        <v>0.82</v>
      </c>
      <c r="E32">
        <v>34.93</v>
      </c>
      <c r="F32">
        <v>2.38</v>
      </c>
      <c r="G32">
        <v>1973</v>
      </c>
      <c r="H32">
        <v>3</v>
      </c>
      <c r="I32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EFF2-17DD-5D41-9CC5-7C5C952467AD}">
  <dimension ref="A1:R10"/>
  <sheetViews>
    <sheetView topLeftCell="G1" zoomScale="188" workbookViewId="0">
      <selection activeCell="H6" sqref="H6"/>
    </sheetView>
  </sheetViews>
  <sheetFormatPr baseColWidth="10" defaultRowHeight="16"/>
  <sheetData>
    <row r="1" spans="1:18">
      <c r="D1" t="s">
        <v>169</v>
      </c>
      <c r="F1" t="s">
        <v>167</v>
      </c>
      <c r="H1" t="s">
        <v>174</v>
      </c>
      <c r="K1" t="s">
        <v>181</v>
      </c>
    </row>
    <row r="2" spans="1:18">
      <c r="A2" t="s">
        <v>151</v>
      </c>
      <c r="B2" t="s">
        <v>172</v>
      </c>
      <c r="C2" t="s">
        <v>173</v>
      </c>
      <c r="D2" t="s">
        <v>170</v>
      </c>
      <c r="E2" t="s">
        <v>171</v>
      </c>
      <c r="F2" t="s">
        <v>170</v>
      </c>
      <c r="G2" t="s">
        <v>171</v>
      </c>
      <c r="H2" s="5" t="s">
        <v>170</v>
      </c>
      <c r="I2" s="5" t="s">
        <v>171</v>
      </c>
      <c r="J2" s="5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159</v>
      </c>
      <c r="B3">
        <v>2950</v>
      </c>
      <c r="C3">
        <v>225</v>
      </c>
      <c r="D3">
        <v>0.51</v>
      </c>
      <c r="E3">
        <v>0.72</v>
      </c>
      <c r="F3">
        <v>1.7</v>
      </c>
      <c r="G3">
        <v>7</v>
      </c>
      <c r="H3">
        <v>34.65</v>
      </c>
      <c r="I3">
        <v>34.01</v>
      </c>
      <c r="K3">
        <v>0.88496170039493627</v>
      </c>
      <c r="L3">
        <v>23.058978811506798</v>
      </c>
      <c r="M3">
        <v>160.51492358973474</v>
      </c>
      <c r="N3">
        <v>57.813565529895392</v>
      </c>
      <c r="O3">
        <v>0.54912427868293012</v>
      </c>
      <c r="P3">
        <v>17.447611273941874</v>
      </c>
      <c r="Q3">
        <v>87.759842827440039</v>
      </c>
      <c r="R3">
        <v>151.1833007387159</v>
      </c>
    </row>
    <row r="4" spans="1:18">
      <c r="A4" t="s">
        <v>175</v>
      </c>
      <c r="B4">
        <v>1312</v>
      </c>
      <c r="C4">
        <v>80</v>
      </c>
      <c r="D4">
        <v>1.19</v>
      </c>
      <c r="E4">
        <v>3.53</v>
      </c>
      <c r="F4">
        <v>4.03</v>
      </c>
      <c r="G4">
        <v>25.066016260162602</v>
      </c>
      <c r="H4">
        <v>34.99</v>
      </c>
      <c r="I4">
        <v>36.630975609756106</v>
      </c>
      <c r="K4">
        <v>1.4423133194399327</v>
      </c>
      <c r="L4">
        <v>6.0104600784261093</v>
      </c>
      <c r="M4">
        <v>235.79888841318532</v>
      </c>
      <c r="N4">
        <v>22.408596619104944</v>
      </c>
      <c r="O4">
        <v>1.177977392261693</v>
      </c>
      <c r="P4">
        <v>15.60878891812599</v>
      </c>
      <c r="Q4">
        <v>27.241312096027457</v>
      </c>
      <c r="R4">
        <v>61.964911721823398</v>
      </c>
    </row>
    <row r="5" spans="1:18">
      <c r="A5" t="s">
        <v>161</v>
      </c>
      <c r="B5">
        <v>2158</v>
      </c>
      <c r="C5">
        <v>150</v>
      </c>
      <c r="D5">
        <v>1.1399999999999999</v>
      </c>
      <c r="E5">
        <v>3.39</v>
      </c>
      <c r="F5">
        <v>3.66</v>
      </c>
      <c r="G5">
        <v>18.79</v>
      </c>
      <c r="H5">
        <v>35.020000000000003</v>
      </c>
      <c r="I5">
        <v>36.619999999999997</v>
      </c>
      <c r="K5">
        <v>1.58</v>
      </c>
      <c r="L5">
        <v>4.4299999999999999E-3</v>
      </c>
      <c r="M5">
        <f>2.83*10^3</f>
        <v>2830</v>
      </c>
      <c r="O5">
        <v>17.600000000000001</v>
      </c>
      <c r="P5">
        <v>0.124</v>
      </c>
      <c r="Q5">
        <v>1.77</v>
      </c>
      <c r="R5">
        <v>7.7399999999999997E-2</v>
      </c>
    </row>
    <row r="6" spans="1:18">
      <c r="A6" t="s">
        <v>180</v>
      </c>
      <c r="D6" s="9">
        <f>D3/D4</f>
        <v>0.4285714285714286</v>
      </c>
      <c r="E6" s="8">
        <f>E3/E4</f>
        <v>0.20396600566572237</v>
      </c>
      <c r="F6" s="9">
        <f>F3/F4</f>
        <v>0.42183622828784118</v>
      </c>
      <c r="G6" s="8">
        <f t="shared" ref="G6:I6" si="0">G3/G4</f>
        <v>0.27926256519369991</v>
      </c>
      <c r="H6" s="16">
        <f t="shared" si="0"/>
        <v>0.99028293798228051</v>
      </c>
      <c r="I6" s="16">
        <f t="shared" si="0"/>
        <v>0.92844919999733633</v>
      </c>
      <c r="K6" s="9">
        <f>K3/K4</f>
        <v>0.6135710517729791</v>
      </c>
      <c r="L6" s="15">
        <f t="shared" ref="L6:R6" si="1">L3/L4</f>
        <v>3.8364748306497343</v>
      </c>
      <c r="M6" s="9">
        <f t="shared" si="1"/>
        <v>0.6807280758188643</v>
      </c>
      <c r="N6" s="14">
        <f t="shared" si="1"/>
        <v>2.5799726110739645</v>
      </c>
      <c r="O6" s="9">
        <f t="shared" si="1"/>
        <v>0.46615858868787163</v>
      </c>
      <c r="P6" s="16">
        <f t="shared" si="1"/>
        <v>1.1178068564743366</v>
      </c>
      <c r="Q6">
        <f t="shared" si="1"/>
        <v>3.2215717994082183</v>
      </c>
      <c r="R6" s="14">
        <f t="shared" si="1"/>
        <v>2.4398211267921601</v>
      </c>
    </row>
    <row r="8" spans="1:18">
      <c r="A8" t="s">
        <v>182</v>
      </c>
      <c r="D8" s="10">
        <f>D4/D5</f>
        <v>1.0438596491228072</v>
      </c>
      <c r="E8" s="10">
        <f t="shared" ref="E8:I8" si="2">E4/E5</f>
        <v>1.0412979351032448</v>
      </c>
      <c r="F8" s="10">
        <f t="shared" si="2"/>
        <v>1.1010928961748634</v>
      </c>
      <c r="G8">
        <f t="shared" si="2"/>
        <v>1.3340083161342524</v>
      </c>
      <c r="H8" s="10">
        <f t="shared" si="2"/>
        <v>0.99914334665905191</v>
      </c>
      <c r="I8" s="10">
        <f t="shared" si="2"/>
        <v>1.0002997162685994</v>
      </c>
      <c r="K8" s="10">
        <f>K4/K5</f>
        <v>0.91285653129109656</v>
      </c>
      <c r="L8">
        <f t="shared" ref="L8:R8" si="3">L4/L5</f>
        <v>1356.7629973873836</v>
      </c>
      <c r="M8" s="13">
        <f t="shared" si="3"/>
        <v>8.3321161983457709E-2</v>
      </c>
      <c r="O8" s="13">
        <f t="shared" si="3"/>
        <v>6.6930533651232554E-2</v>
      </c>
      <c r="P8">
        <f t="shared" si="3"/>
        <v>125.87732998488701</v>
      </c>
      <c r="Q8">
        <f t="shared" si="3"/>
        <v>15.39057180566523</v>
      </c>
      <c r="R8">
        <f t="shared" si="3"/>
        <v>800.58025480391996</v>
      </c>
    </row>
    <row r="10" spans="1:18">
      <c r="A10" t="s">
        <v>183</v>
      </c>
      <c r="D10" s="11">
        <f>D3/D5</f>
        <v>0.44736842105263164</v>
      </c>
      <c r="E10">
        <f t="shared" ref="E10:I10" si="4">E3/E5</f>
        <v>0.21238938053097345</v>
      </c>
      <c r="F10" s="11">
        <f t="shared" si="4"/>
        <v>0.46448087431693985</v>
      </c>
      <c r="G10">
        <f t="shared" si="4"/>
        <v>0.3725385843533795</v>
      </c>
      <c r="H10">
        <f t="shared" si="4"/>
        <v>0.98943460879497414</v>
      </c>
      <c r="I10">
        <f t="shared" si="4"/>
        <v>0.92872747132714362</v>
      </c>
      <c r="K10" s="11">
        <f>K3/K5</f>
        <v>0.56010234202211151</v>
      </c>
      <c r="L10">
        <f t="shared" ref="L10:R10" si="5">L3/L5</f>
        <v>5205.1870906335889</v>
      </c>
      <c r="M10" s="12">
        <f t="shared" si="5"/>
        <v>5.6719054271991073E-2</v>
      </c>
      <c r="O10" s="12">
        <f t="shared" si="5"/>
        <v>3.1200243106984663E-2</v>
      </c>
      <c r="P10">
        <f t="shared" si="5"/>
        <v>140.7065425317893</v>
      </c>
      <c r="Q10">
        <f t="shared" si="5"/>
        <v>49.581832105898329</v>
      </c>
      <c r="R10">
        <f t="shared" si="5"/>
        <v>1953.2726193632545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4FAE-06C3-2A4F-945E-0AABB8D779A9}">
  <dimension ref="A1:R5"/>
  <sheetViews>
    <sheetView workbookViewId="0">
      <selection activeCell="K2" sqref="K2"/>
    </sheetView>
  </sheetViews>
  <sheetFormatPr baseColWidth="10" defaultRowHeight="16"/>
  <sheetData>
    <row r="1" spans="1:18">
      <c r="D1" t="s">
        <v>169</v>
      </c>
      <c r="F1" t="s">
        <v>167</v>
      </c>
      <c r="H1" t="s">
        <v>174</v>
      </c>
      <c r="K1" t="s">
        <v>181</v>
      </c>
    </row>
    <row r="2" spans="1:18">
      <c r="A2" t="s">
        <v>151</v>
      </c>
      <c r="B2" t="s">
        <v>172</v>
      </c>
      <c r="C2" t="s">
        <v>173</v>
      </c>
      <c r="D2" t="s">
        <v>184</v>
      </c>
      <c r="E2" t="s">
        <v>185</v>
      </c>
      <c r="F2" t="s">
        <v>186</v>
      </c>
      <c r="G2" t="s">
        <v>187</v>
      </c>
      <c r="H2" s="5" t="s">
        <v>188</v>
      </c>
      <c r="I2" s="5" t="s">
        <v>189</v>
      </c>
      <c r="J2" s="5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159</v>
      </c>
      <c r="B3">
        <v>2950</v>
      </c>
      <c r="C3">
        <v>225</v>
      </c>
      <c r="D3">
        <v>0.51</v>
      </c>
      <c r="E3">
        <v>0.72</v>
      </c>
      <c r="F3">
        <v>1.7</v>
      </c>
      <c r="G3">
        <v>7</v>
      </c>
      <c r="H3">
        <v>34.65</v>
      </c>
      <c r="I3">
        <v>34.01</v>
      </c>
      <c r="K3">
        <v>0.88496170039493627</v>
      </c>
      <c r="L3">
        <v>23.058978811506798</v>
      </c>
      <c r="M3">
        <v>160.51492358973474</v>
      </c>
      <c r="N3">
        <v>57.813565529895392</v>
      </c>
      <c r="O3">
        <v>0.54912427868293012</v>
      </c>
      <c r="P3">
        <v>17.447611273941874</v>
      </c>
      <c r="Q3">
        <v>87.759842827440039</v>
      </c>
      <c r="R3">
        <v>151.1833007387159</v>
      </c>
    </row>
    <row r="4" spans="1:18">
      <c r="A4" t="s">
        <v>175</v>
      </c>
      <c r="B4">
        <v>1312</v>
      </c>
      <c r="C4">
        <v>80</v>
      </c>
      <c r="D4">
        <v>1.19</v>
      </c>
      <c r="E4">
        <v>3.53</v>
      </c>
      <c r="F4">
        <v>4.03</v>
      </c>
      <c r="G4">
        <v>25.066016260162602</v>
      </c>
      <c r="H4">
        <v>34.99</v>
      </c>
      <c r="I4">
        <v>36.630975609756106</v>
      </c>
      <c r="K4">
        <v>1.4423133194399327</v>
      </c>
      <c r="L4">
        <v>6.0104600784261093</v>
      </c>
      <c r="M4">
        <v>235.79888841318532</v>
      </c>
      <c r="N4">
        <v>22.408596619104944</v>
      </c>
      <c r="O4">
        <v>1.177977392261693</v>
      </c>
      <c r="P4">
        <v>15.60878891812599</v>
      </c>
      <c r="Q4">
        <v>27.241312096027457</v>
      </c>
      <c r="R4">
        <v>61.964911721823398</v>
      </c>
    </row>
    <row r="5" spans="1:18">
      <c r="A5" t="s">
        <v>161</v>
      </c>
      <c r="B5">
        <v>2158</v>
      </c>
      <c r="C5">
        <v>150</v>
      </c>
      <c r="D5">
        <v>1.1399999999999999</v>
      </c>
      <c r="E5">
        <v>3.39</v>
      </c>
      <c r="F5">
        <v>3.66</v>
      </c>
      <c r="G5">
        <v>18.79</v>
      </c>
      <c r="H5">
        <v>35.020000000000003</v>
      </c>
      <c r="I5">
        <v>36.619999999999997</v>
      </c>
      <c r="K5">
        <v>1.58</v>
      </c>
      <c r="L5">
        <v>4.4299999999999999E-3</v>
      </c>
      <c r="M5">
        <f>2.83*10^3</f>
        <v>2830</v>
      </c>
      <c r="O5">
        <v>17.600000000000001</v>
      </c>
      <c r="P5">
        <v>0.124</v>
      </c>
      <c r="Q5">
        <v>1.77</v>
      </c>
      <c r="R5">
        <v>7.7399999999999997E-2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Water Column Batch Analysis</vt:lpstr>
      <vt:lpstr>water column excluding nans</vt:lpstr>
      <vt:lpstr>ODV data</vt:lpstr>
      <vt:lpstr>ODV Water Column</vt:lpstr>
      <vt:lpstr>ODV Water Column 1</vt:lpstr>
      <vt:lpstr>ODV Sediments</vt:lpstr>
      <vt:lpstr>ODV Sergent</vt:lpstr>
      <vt:lpstr>aragonite workup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Pavia</dc:creator>
  <cp:lastModifiedBy>cshepp</cp:lastModifiedBy>
  <dcterms:created xsi:type="dcterms:W3CDTF">2025-05-13T05:33:05Z</dcterms:created>
  <dcterms:modified xsi:type="dcterms:W3CDTF">2025-12-02T19:21:56Z</dcterms:modified>
</cp:coreProperties>
</file>
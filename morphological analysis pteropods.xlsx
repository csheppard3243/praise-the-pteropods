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"/>
    </mc:Choice>
  </mc:AlternateContent>
  <xr:revisionPtr revIDLastSave="0" documentId="13_ncr:1_{251E4714-D5CE-204A-93F9-B30F092E4AD5}" xr6:coauthVersionLast="47" xr6:coauthVersionMax="47" xr10:uidLastSave="{00000000-0000-0000-0000-000000000000}"/>
  <bookViews>
    <workbookView xWindow="280" yWindow="760" windowWidth="29120" windowHeight="17140" activeTab="3" xr2:uid="{6A8E61A7-57AA-FD4C-8E15-E9201E433B31}"/>
  </bookViews>
  <sheets>
    <sheet name="original" sheetId="1" r:id="rId1"/>
    <sheet name="Sheet1" sheetId="5" r:id="rId2"/>
    <sheet name="sorted by U238" sheetId="2" r:id="rId3"/>
    <sheet name="IMAGEJ ANALYSIS" sheetId="3" r:id="rId4"/>
    <sheet name="sorted by opacit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6" i="3" l="1"/>
  <c r="O56" i="3" s="1"/>
  <c r="O55" i="3"/>
  <c r="O54" i="3"/>
  <c r="N52" i="3"/>
  <c r="M52" i="3"/>
  <c r="O52" i="3" s="1"/>
  <c r="O51" i="3"/>
  <c r="M47" i="3"/>
  <c r="O47" i="3" s="1"/>
  <c r="O48" i="3"/>
  <c r="O46" i="3"/>
  <c r="O45" i="3"/>
  <c r="O44" i="3"/>
  <c r="P43" i="3"/>
  <c r="Q43" i="3"/>
  <c r="O43" i="3"/>
  <c r="Q36" i="3"/>
  <c r="Q37" i="3"/>
  <c r="Q38" i="3"/>
  <c r="Q39" i="3"/>
  <c r="Q40" i="3"/>
  <c r="P37" i="3"/>
  <c r="P38" i="3"/>
  <c r="P39" i="3"/>
  <c r="P40" i="3"/>
  <c r="O40" i="3"/>
  <c r="O39" i="3"/>
  <c r="P34" i="3"/>
  <c r="P35" i="3"/>
  <c r="P36" i="3"/>
  <c r="O38" i="3"/>
  <c r="O37" i="3"/>
  <c r="O36" i="3"/>
  <c r="O35" i="3"/>
  <c r="Q35" i="3"/>
  <c r="M30" i="3"/>
  <c r="O30" i="3" s="1"/>
  <c r="Q29" i="3"/>
  <c r="P29" i="3"/>
  <c r="O28" i="3"/>
  <c r="O29" i="3"/>
  <c r="M26" i="3"/>
  <c r="P26" i="3" s="1"/>
  <c r="M6" i="3"/>
  <c r="O21" i="3"/>
  <c r="O20" i="3"/>
  <c r="O10" i="3"/>
  <c r="N9" i="3"/>
  <c r="M9" i="3"/>
  <c r="N17" i="3"/>
  <c r="M17" i="3"/>
  <c r="O16" i="3"/>
  <c r="O15" i="3"/>
  <c r="O14" i="3"/>
  <c r="O13" i="3"/>
  <c r="Q13" i="3"/>
  <c r="P13" i="3"/>
  <c r="P12" i="3"/>
  <c r="Q12" i="3"/>
  <c r="O12" i="3"/>
  <c r="P11" i="3"/>
  <c r="Q11" i="3"/>
  <c r="O11" i="3"/>
  <c r="O7" i="3"/>
  <c r="O8" i="3"/>
  <c r="Q19" i="3"/>
  <c r="P19" i="3"/>
  <c r="O19" i="3"/>
  <c r="Q18" i="3"/>
  <c r="P18" i="3"/>
  <c r="O18" i="3"/>
  <c r="A15" i="5"/>
  <c r="A13" i="5"/>
  <c r="A6" i="5"/>
  <c r="Q4" i="3"/>
  <c r="P4" i="3"/>
  <c r="O4" i="3"/>
  <c r="Q7" i="3"/>
  <c r="Q26" i="3"/>
  <c r="Q31" i="3"/>
  <c r="Q34" i="3"/>
  <c r="Q42" i="3"/>
  <c r="Q50" i="3"/>
  <c r="Q53" i="3"/>
  <c r="P7" i="3"/>
  <c r="P31" i="3"/>
  <c r="P42" i="3"/>
  <c r="P50" i="3"/>
  <c r="P53" i="3"/>
  <c r="O27" i="3"/>
  <c r="O31" i="3"/>
  <c r="O34" i="3"/>
  <c r="O42" i="3"/>
  <c r="O50" i="3"/>
  <c r="O53" i="3"/>
  <c r="Q3" i="3"/>
  <c r="P3" i="3"/>
  <c r="O3" i="3"/>
  <c r="A57" i="3"/>
  <c r="A42" i="3"/>
  <c r="A50" i="3" s="1"/>
  <c r="A12" i="4"/>
  <c r="A9" i="4"/>
  <c r="A3" i="4"/>
  <c r="A6" i="2"/>
  <c r="A10" i="2"/>
  <c r="A14" i="2"/>
  <c r="A15" i="1"/>
  <c r="A6" i="1"/>
  <c r="A13" i="1" s="1"/>
  <c r="O26" i="3" l="1"/>
  <c r="O9" i="3"/>
  <c r="O17" i="3"/>
</calcChain>
</file>

<file path=xl/sharedStrings.xml><?xml version="1.0" encoding="utf-8"?>
<sst xmlns="http://schemas.openxmlformats.org/spreadsheetml/2006/main" count="366" uniqueCount="77">
  <si>
    <t>Pteropod #</t>
  </si>
  <si>
    <t>Sample ID( MC#)</t>
  </si>
  <si>
    <t>Slide</t>
  </si>
  <si>
    <t>Window</t>
  </si>
  <si>
    <t>MC-1</t>
  </si>
  <si>
    <t>MC-2</t>
  </si>
  <si>
    <t>MC-3</t>
  </si>
  <si>
    <t>MC-4</t>
  </si>
  <si>
    <t>MC-5</t>
  </si>
  <si>
    <t>MC-6</t>
  </si>
  <si>
    <t>MC-7</t>
  </si>
  <si>
    <t>MC-8</t>
  </si>
  <si>
    <t>MC-9</t>
  </si>
  <si>
    <t>MC-10</t>
  </si>
  <si>
    <t>MC-11</t>
  </si>
  <si>
    <t>MC-12</t>
  </si>
  <si>
    <t>MC-13</t>
  </si>
  <si>
    <t>MC-14</t>
  </si>
  <si>
    <t>U238/Ca46 (LR)</t>
  </si>
  <si>
    <t>Mg24/Ca46 (LR)</t>
  </si>
  <si>
    <t xml:space="preserve">Mg25/Ca46 (LR) </t>
  </si>
  <si>
    <t>notes</t>
  </si>
  <si>
    <t>large sample</t>
  </si>
  <si>
    <t xml:space="preserve">number of shells </t>
  </si>
  <si>
    <t xml:space="preserve">number of whorls on shells </t>
  </si>
  <si>
    <t>6,4</t>
  </si>
  <si>
    <t>4 (2 medium)</t>
  </si>
  <si>
    <t>4 ( 1 medium)</t>
  </si>
  <si>
    <t>7 (4 medium)</t>
  </si>
  <si>
    <t xml:space="preserve">cracked and exposed </t>
  </si>
  <si>
    <t>8 (2 smaller)</t>
  </si>
  <si>
    <t xml:space="preserve">opacity </t>
  </si>
  <si>
    <t xml:space="preserve">transluscent </t>
  </si>
  <si>
    <t>transluscent; some white "gunk"</t>
  </si>
  <si>
    <t xml:space="preserve">2 transluscent and 6 white covered, broken ones white </t>
  </si>
  <si>
    <t>5 (2 med)</t>
  </si>
  <si>
    <t>white</t>
  </si>
  <si>
    <t>5,6</t>
  </si>
  <si>
    <t xml:space="preserve">hole in shells </t>
  </si>
  <si>
    <t>7 ( 1 med)</t>
  </si>
  <si>
    <t>8 (all small)</t>
  </si>
  <si>
    <t>half white, half transluscent</t>
  </si>
  <si>
    <t>smaller sample, largest shell has a thin degraded exterior lining along extrerior shell</t>
  </si>
  <si>
    <t>4 (small)</t>
  </si>
  <si>
    <t xml:space="preserve">very small sample; degraded whorl on shell </t>
  </si>
  <si>
    <t xml:space="preserve">white </t>
  </si>
  <si>
    <t>whorl</t>
  </si>
  <si>
    <t>The number of whorls is a complete 360° revolution of shell growth, rounded to the nearest quarter whorl</t>
  </si>
  <si>
    <t xml:space="preserve">width </t>
  </si>
  <si>
    <t>the shell diameter was measured perpendicular to the shell width, going across the widest part of the shell</t>
  </si>
  <si>
    <t># of whorls</t>
  </si>
  <si>
    <t>1. shell diameter or spire height: shell width, 2. Number of whorls: shell diameter or spire height and 3. Number of whorls: shell width</t>
  </si>
  <si>
    <t xml:space="preserve">ratios </t>
  </si>
  <si>
    <t>the shell width was determined by passing through both the growing edge and the protoconch (the embryonic shell)</t>
  </si>
  <si>
    <t xml:space="preserve">diameter </t>
  </si>
  <si>
    <t>width (mm)</t>
  </si>
  <si>
    <t>diameter (mm)</t>
  </si>
  <si>
    <t xml:space="preserve">Assessment of Pteropod Morphologies </t>
  </si>
  <si>
    <t>Ratios</t>
  </si>
  <si>
    <t xml:space="preserve">diameter:width </t>
  </si>
  <si>
    <t>whorls:diameter</t>
  </si>
  <si>
    <t>whorls:width</t>
  </si>
  <si>
    <t xml:space="preserve">approximate values could not see whole shell in photo </t>
  </si>
  <si>
    <t xml:space="preserve">shell on its side so diameter measurement most likely skewed </t>
  </si>
  <si>
    <t xml:space="preserve">BROKEN </t>
  </si>
  <si>
    <t>white; some transluscent spots</t>
  </si>
  <si>
    <t xml:space="preserve">has lots of OM on outer shell </t>
  </si>
  <si>
    <t>has a few holes</t>
  </si>
  <si>
    <t>has many holes</t>
  </si>
  <si>
    <t>approximate values could not see whole shell in photo  and on side</t>
  </si>
  <si>
    <t>lining on exterior shell</t>
  </si>
  <si>
    <t xml:space="preserve">last part of shell broken </t>
  </si>
  <si>
    <t xml:space="preserve">comments about measurement </t>
  </si>
  <si>
    <t xml:space="preserve">comment </t>
  </si>
  <si>
    <t>cannot measure because reference window is not in frame</t>
  </si>
  <si>
    <t xml:space="preserve">DEFINITIONS </t>
  </si>
  <si>
    <t>shell # labeled (in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</si>
</sst>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1" fontId="2" fillId="0" borderId="0" xfId="0" applyNumberFormat="1" applyFont="1"/>
    <xf numFmtId="11" fontId="3" fillId="0" borderId="0" xfId="0" applyNumberFormat="1" applyFont="1"/>
    <xf numFmtId="11" fontId="1" fillId="0" borderId="0" xfId="0" applyNumberFormat="1" applyFont="1"/>
    <xf numFmtId="11" fontId="4" fillId="0" borderId="0" xfId="0" applyNumberFormat="1" applyFont="1"/>
    <xf numFmtId="169" fontId="0" fillId="0" borderId="0" xfId="0" applyNumberForma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8282-8FE1-E240-8232-16B1CC5C0C48}">
  <dimension ref="A1:K15"/>
  <sheetViews>
    <sheetView zoomScale="150" workbookViewId="0">
      <selection activeCell="K1" sqref="K1:K15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21</v>
      </c>
      <c r="I1" t="s">
        <v>23</v>
      </c>
      <c r="J1" t="s">
        <v>24</v>
      </c>
      <c r="K1" t="s">
        <v>31</v>
      </c>
    </row>
    <row r="2" spans="1:11" x14ac:dyDescent="0.2">
      <c r="A2">
        <v>1</v>
      </c>
      <c r="B2" t="s">
        <v>4</v>
      </c>
      <c r="C2">
        <v>7</v>
      </c>
      <c r="D2">
        <v>1</v>
      </c>
      <c r="E2" s="1">
        <v>2.88E-6</v>
      </c>
      <c r="F2" s="2">
        <v>1.4500000000000001E-2</v>
      </c>
      <c r="G2" s="2">
        <v>1.01E-5</v>
      </c>
      <c r="I2" t="s">
        <v>26</v>
      </c>
      <c r="J2" t="s">
        <v>25</v>
      </c>
      <c r="K2" t="s">
        <v>33</v>
      </c>
    </row>
    <row r="3" spans="1:11" x14ac:dyDescent="0.2">
      <c r="A3">
        <v>2</v>
      </c>
      <c r="B3" t="s">
        <v>5</v>
      </c>
      <c r="C3">
        <v>6</v>
      </c>
      <c r="D3">
        <v>3</v>
      </c>
      <c r="E3" s="2">
        <v>3.2399999999999999E-7</v>
      </c>
      <c r="F3" s="1">
        <v>1.9900000000000001E-2</v>
      </c>
      <c r="G3" s="3">
        <v>8.9700000000000005E-6</v>
      </c>
      <c r="I3" t="s">
        <v>27</v>
      </c>
      <c r="J3">
        <v>6</v>
      </c>
      <c r="K3" t="s">
        <v>32</v>
      </c>
    </row>
    <row r="4" spans="1:11" x14ac:dyDescent="0.2">
      <c r="A4">
        <v>3</v>
      </c>
      <c r="B4" t="s">
        <v>6</v>
      </c>
      <c r="C4">
        <v>7</v>
      </c>
      <c r="D4">
        <v>4</v>
      </c>
      <c r="E4" s="2">
        <v>2.1899999999999999E-2</v>
      </c>
      <c r="F4" s="3">
        <v>8.3999999999999992E-6</v>
      </c>
      <c r="G4" s="1">
        <v>4.0799999999999999E-6</v>
      </c>
      <c r="I4" t="s">
        <v>28</v>
      </c>
      <c r="J4">
        <v>5</v>
      </c>
      <c r="K4" t="s">
        <v>45</v>
      </c>
    </row>
    <row r="5" spans="1:11" x14ac:dyDescent="0.2">
      <c r="A5">
        <v>4</v>
      </c>
      <c r="B5" t="s">
        <v>7</v>
      </c>
      <c r="C5">
        <v>6</v>
      </c>
      <c r="D5">
        <v>12</v>
      </c>
      <c r="E5" s="1">
        <v>5.4300000000000003E-7</v>
      </c>
      <c r="F5" s="2">
        <v>1.9400000000000001E-2</v>
      </c>
      <c r="G5" s="1">
        <v>8.1799999999999996E-6</v>
      </c>
      <c r="H5" t="s">
        <v>29</v>
      </c>
      <c r="I5" t="s">
        <v>30</v>
      </c>
      <c r="J5">
        <v>5</v>
      </c>
      <c r="K5" t="s">
        <v>34</v>
      </c>
    </row>
    <row r="6" spans="1:11" x14ac:dyDescent="0.2">
      <c r="A6">
        <f>A5+1</f>
        <v>5</v>
      </c>
      <c r="B6" t="s">
        <v>14</v>
      </c>
      <c r="C6">
        <v>9</v>
      </c>
      <c r="D6">
        <v>2</v>
      </c>
      <c r="E6" s="1">
        <v>3.9899999999999999E-6</v>
      </c>
      <c r="F6" s="1">
        <v>2.18E-2</v>
      </c>
      <c r="G6" s="1">
        <v>7.9899999999999997E-6</v>
      </c>
      <c r="I6" s="1" t="s">
        <v>40</v>
      </c>
      <c r="J6" s="1">
        <v>5</v>
      </c>
      <c r="K6" t="s">
        <v>41</v>
      </c>
    </row>
    <row r="7" spans="1:11" x14ac:dyDescent="0.2">
      <c r="A7">
        <v>5</v>
      </c>
      <c r="B7" t="s">
        <v>8</v>
      </c>
      <c r="C7">
        <v>6</v>
      </c>
      <c r="D7">
        <v>4</v>
      </c>
      <c r="E7" s="1">
        <v>3.8500000000000002E-7</v>
      </c>
      <c r="F7" s="2">
        <v>1.9699999999999999E-2</v>
      </c>
      <c r="G7" s="2">
        <v>7.4900000000000003E-6</v>
      </c>
      <c r="I7" t="s">
        <v>35</v>
      </c>
      <c r="J7">
        <v>6</v>
      </c>
      <c r="K7" t="s">
        <v>32</v>
      </c>
    </row>
    <row r="8" spans="1:11" x14ac:dyDescent="0.2">
      <c r="A8">
        <v>6</v>
      </c>
      <c r="B8" t="s">
        <v>9</v>
      </c>
      <c r="C8">
        <v>12</v>
      </c>
      <c r="D8">
        <v>4</v>
      </c>
      <c r="E8" s="1">
        <v>3.0400000000000001E-6</v>
      </c>
      <c r="F8" s="2">
        <v>3.0200000000000001E-2</v>
      </c>
      <c r="G8" s="2">
        <v>7.8800000000000008E-6</v>
      </c>
      <c r="H8" t="s">
        <v>22</v>
      </c>
      <c r="I8">
        <v>1</v>
      </c>
      <c r="J8">
        <v>6</v>
      </c>
      <c r="K8" t="s">
        <v>36</v>
      </c>
    </row>
    <row r="9" spans="1:11" x14ac:dyDescent="0.2">
      <c r="A9">
        <v>7</v>
      </c>
      <c r="B9" t="s">
        <v>10</v>
      </c>
      <c r="C9">
        <v>4</v>
      </c>
      <c r="D9">
        <v>1</v>
      </c>
      <c r="E9" s="2">
        <v>2.5800000000000001E-7</v>
      </c>
      <c r="F9" s="1">
        <v>2.6800000000000001E-2</v>
      </c>
      <c r="G9" s="1">
        <v>7.0600000000000002E-6</v>
      </c>
      <c r="I9">
        <v>1</v>
      </c>
      <c r="K9" t="s">
        <v>33</v>
      </c>
    </row>
    <row r="10" spans="1:11" x14ac:dyDescent="0.2">
      <c r="A10">
        <v>8</v>
      </c>
      <c r="B10" t="s">
        <v>11</v>
      </c>
      <c r="C10">
        <v>11</v>
      </c>
      <c r="D10">
        <v>5</v>
      </c>
      <c r="E10" s="1">
        <v>1.68E-6</v>
      </c>
      <c r="F10" s="2">
        <v>2.98E-2</v>
      </c>
      <c r="G10" s="1">
        <v>7.4800000000000004E-6</v>
      </c>
      <c r="H10" t="s">
        <v>22</v>
      </c>
      <c r="I10">
        <v>2</v>
      </c>
      <c r="J10" t="s">
        <v>37</v>
      </c>
      <c r="K10" t="s">
        <v>33</v>
      </c>
    </row>
    <row r="11" spans="1:11" x14ac:dyDescent="0.2">
      <c r="A11">
        <v>9</v>
      </c>
      <c r="B11" t="s">
        <v>12</v>
      </c>
      <c r="C11">
        <v>10</v>
      </c>
      <c r="D11">
        <v>2</v>
      </c>
      <c r="E11" s="2">
        <v>1.4100000000000001E-6</v>
      </c>
      <c r="F11" s="2">
        <v>2.1499999999999998E-2</v>
      </c>
      <c r="G11" s="2">
        <v>6.99E-6</v>
      </c>
      <c r="H11" t="s">
        <v>38</v>
      </c>
      <c r="I11" s="2" t="s">
        <v>39</v>
      </c>
      <c r="J11" s="2">
        <v>5</v>
      </c>
      <c r="K11" t="s">
        <v>36</v>
      </c>
    </row>
    <row r="12" spans="1:11" x14ac:dyDescent="0.2">
      <c r="A12">
        <v>10</v>
      </c>
      <c r="B12" t="s">
        <v>13</v>
      </c>
      <c r="C12">
        <v>3</v>
      </c>
      <c r="D12">
        <v>1</v>
      </c>
      <c r="E12" s="2">
        <v>1.8099999999999999E-7</v>
      </c>
      <c r="F12" s="2">
        <v>2.6599999999999999E-2</v>
      </c>
      <c r="G12" s="1">
        <v>8.1799999999999996E-6</v>
      </c>
      <c r="I12">
        <v>1</v>
      </c>
      <c r="K12" t="s">
        <v>32</v>
      </c>
    </row>
    <row r="13" spans="1:11" x14ac:dyDescent="0.2">
      <c r="A13">
        <f>A12+1</f>
        <v>11</v>
      </c>
      <c r="B13" t="s">
        <v>15</v>
      </c>
      <c r="C13">
        <v>6</v>
      </c>
      <c r="D13">
        <v>6</v>
      </c>
      <c r="E13" s="2">
        <v>3.89E-7</v>
      </c>
      <c r="F13" s="2">
        <v>5.1700000000000003E-2</v>
      </c>
      <c r="G13" s="2">
        <v>7.52E-6</v>
      </c>
      <c r="H13" t="s">
        <v>42</v>
      </c>
      <c r="I13">
        <v>3</v>
      </c>
      <c r="K13" t="s">
        <v>36</v>
      </c>
    </row>
    <row r="14" spans="1:11" x14ac:dyDescent="0.2">
      <c r="A14">
        <v>14</v>
      </c>
      <c r="B14" t="s">
        <v>16</v>
      </c>
      <c r="C14">
        <v>13</v>
      </c>
      <c r="D14">
        <v>4</v>
      </c>
      <c r="E14" s="2">
        <v>9.5099999999999998E-7</v>
      </c>
      <c r="F14" s="2">
        <v>4.5100000000000001E-2</v>
      </c>
      <c r="G14" s="2">
        <v>8.2099999999999993E-6</v>
      </c>
      <c r="H14" t="s">
        <v>44</v>
      </c>
      <c r="I14" t="s">
        <v>43</v>
      </c>
      <c r="J14">
        <v>5</v>
      </c>
      <c r="K14" t="s">
        <v>33</v>
      </c>
    </row>
    <row r="15" spans="1:11" x14ac:dyDescent="0.2">
      <c r="A15">
        <f>A14+1</f>
        <v>15</v>
      </c>
      <c r="B15" t="s">
        <v>17</v>
      </c>
      <c r="C15">
        <v>11</v>
      </c>
      <c r="D15">
        <v>1</v>
      </c>
      <c r="E15" s="2">
        <v>1.44E-6</v>
      </c>
      <c r="F15" s="1">
        <v>2.07E-2</v>
      </c>
      <c r="G15" s="1">
        <v>6.9700000000000002E-6</v>
      </c>
      <c r="I15">
        <v>1</v>
      </c>
      <c r="J15">
        <v>6</v>
      </c>
      <c r="K15" t="s">
        <v>33</v>
      </c>
    </row>
  </sheetData>
  <sortState xmlns:xlrd2="http://schemas.microsoft.com/office/spreadsheetml/2017/richdata2" ref="A2:K16">
    <sortCondition ref="A2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5DF9-CA00-C447-B387-FEADCD7F4091}">
  <dimension ref="A1:K15"/>
  <sheetViews>
    <sheetView workbookViewId="0">
      <selection activeCell="H28" sqref="H28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21</v>
      </c>
      <c r="I1" t="s">
        <v>23</v>
      </c>
      <c r="J1" t="s">
        <v>24</v>
      </c>
      <c r="K1" t="s">
        <v>31</v>
      </c>
    </row>
    <row r="2" spans="1:11" x14ac:dyDescent="0.2">
      <c r="A2">
        <v>1</v>
      </c>
      <c r="B2" t="s">
        <v>4</v>
      </c>
      <c r="C2">
        <v>7</v>
      </c>
      <c r="D2">
        <v>1</v>
      </c>
      <c r="E2" s="1">
        <v>2.88E-6</v>
      </c>
      <c r="F2" s="2">
        <v>1.4500000000000001E-2</v>
      </c>
      <c r="G2" s="2">
        <v>1.01E-5</v>
      </c>
      <c r="I2" t="s">
        <v>26</v>
      </c>
      <c r="J2" t="s">
        <v>25</v>
      </c>
      <c r="K2" t="s">
        <v>33</v>
      </c>
    </row>
    <row r="3" spans="1:11" x14ac:dyDescent="0.2">
      <c r="A3">
        <v>2</v>
      </c>
      <c r="B3" t="s">
        <v>5</v>
      </c>
      <c r="C3">
        <v>6</v>
      </c>
      <c r="D3">
        <v>3</v>
      </c>
      <c r="E3" s="2">
        <v>3.2399999999999999E-7</v>
      </c>
      <c r="F3" s="1">
        <v>1.9900000000000001E-2</v>
      </c>
      <c r="G3" s="3">
        <v>8.9700000000000005E-6</v>
      </c>
      <c r="I3" t="s">
        <v>27</v>
      </c>
      <c r="J3">
        <v>6</v>
      </c>
      <c r="K3" t="s">
        <v>32</v>
      </c>
    </row>
    <row r="4" spans="1:11" x14ac:dyDescent="0.2">
      <c r="A4">
        <v>3</v>
      </c>
      <c r="B4" t="s">
        <v>6</v>
      </c>
      <c r="C4">
        <v>7</v>
      </c>
      <c r="D4">
        <v>4</v>
      </c>
      <c r="E4" s="2">
        <v>2.1899999999999999E-2</v>
      </c>
      <c r="F4" s="3">
        <v>8.3999999999999992E-6</v>
      </c>
      <c r="G4" s="1">
        <v>4.0799999999999999E-6</v>
      </c>
      <c r="I4" t="s">
        <v>28</v>
      </c>
      <c r="J4">
        <v>5</v>
      </c>
      <c r="K4" t="s">
        <v>45</v>
      </c>
    </row>
    <row r="5" spans="1:11" x14ac:dyDescent="0.2">
      <c r="A5">
        <v>4</v>
      </c>
      <c r="B5" t="s">
        <v>7</v>
      </c>
      <c r="C5">
        <v>6</v>
      </c>
      <c r="D5">
        <v>12</v>
      </c>
      <c r="E5" s="1">
        <v>5.4300000000000003E-7</v>
      </c>
      <c r="F5" s="2">
        <v>1.9400000000000001E-2</v>
      </c>
      <c r="G5" s="1">
        <v>8.1799999999999996E-6</v>
      </c>
      <c r="H5" t="s">
        <v>29</v>
      </c>
      <c r="I5" t="s">
        <v>30</v>
      </c>
      <c r="J5">
        <v>5</v>
      </c>
      <c r="K5" t="s">
        <v>34</v>
      </c>
    </row>
    <row r="6" spans="1:11" x14ac:dyDescent="0.2">
      <c r="A6">
        <f>A5+1</f>
        <v>5</v>
      </c>
      <c r="B6" t="s">
        <v>14</v>
      </c>
      <c r="C6">
        <v>9</v>
      </c>
      <c r="D6">
        <v>2</v>
      </c>
      <c r="E6" s="1">
        <v>3.9899999999999999E-6</v>
      </c>
      <c r="F6" s="1">
        <v>2.18E-2</v>
      </c>
      <c r="G6" s="1">
        <v>7.9899999999999997E-6</v>
      </c>
      <c r="I6" s="1" t="s">
        <v>40</v>
      </c>
      <c r="J6" s="1">
        <v>5</v>
      </c>
      <c r="K6" t="s">
        <v>41</v>
      </c>
    </row>
    <row r="7" spans="1:11" x14ac:dyDescent="0.2">
      <c r="A7">
        <v>5</v>
      </c>
      <c r="B7" t="s">
        <v>8</v>
      </c>
      <c r="C7">
        <v>6</v>
      </c>
      <c r="D7">
        <v>4</v>
      </c>
      <c r="E7" s="1">
        <v>3.8500000000000002E-7</v>
      </c>
      <c r="F7" s="2">
        <v>1.9699999999999999E-2</v>
      </c>
      <c r="G7" s="2">
        <v>7.4900000000000003E-6</v>
      </c>
      <c r="I7" t="s">
        <v>35</v>
      </c>
      <c r="J7">
        <v>6</v>
      </c>
      <c r="K7" t="s">
        <v>32</v>
      </c>
    </row>
    <row r="8" spans="1:11" x14ac:dyDescent="0.2">
      <c r="A8">
        <v>6</v>
      </c>
      <c r="B8" t="s">
        <v>9</v>
      </c>
      <c r="C8">
        <v>12</v>
      </c>
      <c r="D8">
        <v>4</v>
      </c>
      <c r="E8" s="1">
        <v>3.0400000000000001E-6</v>
      </c>
      <c r="F8" s="2">
        <v>3.0200000000000001E-2</v>
      </c>
      <c r="G8" s="2">
        <v>7.8800000000000008E-6</v>
      </c>
      <c r="H8" t="s">
        <v>22</v>
      </c>
      <c r="I8">
        <v>1</v>
      </c>
      <c r="J8">
        <v>6</v>
      </c>
      <c r="K8" t="s">
        <v>36</v>
      </c>
    </row>
    <row r="9" spans="1:11" x14ac:dyDescent="0.2">
      <c r="A9">
        <v>7</v>
      </c>
      <c r="B9" t="s">
        <v>10</v>
      </c>
      <c r="C9">
        <v>4</v>
      </c>
      <c r="D9">
        <v>1</v>
      </c>
      <c r="E9" s="2">
        <v>2.5800000000000001E-7</v>
      </c>
      <c r="F9" s="1">
        <v>2.6800000000000001E-2</v>
      </c>
      <c r="G9" s="1">
        <v>7.0600000000000002E-6</v>
      </c>
      <c r="I9">
        <v>1</v>
      </c>
      <c r="K9" t="s">
        <v>33</v>
      </c>
    </row>
    <row r="10" spans="1:11" x14ac:dyDescent="0.2">
      <c r="A10">
        <v>8</v>
      </c>
      <c r="B10" t="s">
        <v>11</v>
      </c>
      <c r="C10">
        <v>11</v>
      </c>
      <c r="D10">
        <v>5</v>
      </c>
      <c r="E10" s="1">
        <v>1.68E-6</v>
      </c>
      <c r="F10" s="2">
        <v>2.98E-2</v>
      </c>
      <c r="G10" s="1">
        <v>7.4800000000000004E-6</v>
      </c>
      <c r="H10" t="s">
        <v>22</v>
      </c>
      <c r="I10">
        <v>2</v>
      </c>
      <c r="J10" t="s">
        <v>37</v>
      </c>
      <c r="K10" t="s">
        <v>33</v>
      </c>
    </row>
    <row r="11" spans="1:11" x14ac:dyDescent="0.2">
      <c r="A11">
        <v>9</v>
      </c>
      <c r="B11" t="s">
        <v>12</v>
      </c>
      <c r="C11">
        <v>10</v>
      </c>
      <c r="D11">
        <v>2</v>
      </c>
      <c r="E11" s="2">
        <v>1.4100000000000001E-6</v>
      </c>
      <c r="F11" s="2">
        <v>2.1499999999999998E-2</v>
      </c>
      <c r="G11" s="2">
        <v>6.99E-6</v>
      </c>
      <c r="H11" t="s">
        <v>38</v>
      </c>
      <c r="I11" s="2" t="s">
        <v>39</v>
      </c>
      <c r="J11" s="2">
        <v>5</v>
      </c>
      <c r="K11" t="s">
        <v>36</v>
      </c>
    </row>
    <row r="12" spans="1:11" x14ac:dyDescent="0.2">
      <c r="A12">
        <v>10</v>
      </c>
      <c r="B12" t="s">
        <v>13</v>
      </c>
      <c r="C12">
        <v>3</v>
      </c>
      <c r="D12">
        <v>1</v>
      </c>
      <c r="E12" s="2">
        <v>1.8099999999999999E-7</v>
      </c>
      <c r="F12" s="2">
        <v>2.6599999999999999E-2</v>
      </c>
      <c r="G12" s="1">
        <v>8.1799999999999996E-6</v>
      </c>
      <c r="I12">
        <v>1</v>
      </c>
      <c r="K12" t="s">
        <v>32</v>
      </c>
    </row>
    <row r="13" spans="1:11" x14ac:dyDescent="0.2">
      <c r="A13">
        <f>A12+1</f>
        <v>11</v>
      </c>
      <c r="B13" t="s">
        <v>15</v>
      </c>
      <c r="C13">
        <v>6</v>
      </c>
      <c r="D13">
        <v>6</v>
      </c>
      <c r="E13" s="2">
        <v>3.89E-7</v>
      </c>
      <c r="F13" s="2">
        <v>5.1700000000000003E-2</v>
      </c>
      <c r="G13" s="2">
        <v>7.52E-6</v>
      </c>
      <c r="H13" t="s">
        <v>42</v>
      </c>
      <c r="I13">
        <v>3</v>
      </c>
      <c r="K13" t="s">
        <v>36</v>
      </c>
    </row>
    <row r="14" spans="1:11" x14ac:dyDescent="0.2">
      <c r="A14">
        <v>14</v>
      </c>
      <c r="B14" t="s">
        <v>16</v>
      </c>
      <c r="C14">
        <v>13</v>
      </c>
      <c r="D14">
        <v>4</v>
      </c>
      <c r="E14" s="2">
        <v>9.5099999999999998E-7</v>
      </c>
      <c r="F14" s="2">
        <v>4.5100000000000001E-2</v>
      </c>
      <c r="G14" s="2">
        <v>8.2099999999999993E-6</v>
      </c>
      <c r="H14" t="s">
        <v>44</v>
      </c>
      <c r="I14" t="s">
        <v>43</v>
      </c>
      <c r="J14">
        <v>5</v>
      </c>
      <c r="K14" t="s">
        <v>33</v>
      </c>
    </row>
    <row r="15" spans="1:11" x14ac:dyDescent="0.2">
      <c r="A15">
        <f>A14+1</f>
        <v>15</v>
      </c>
      <c r="B15" t="s">
        <v>17</v>
      </c>
      <c r="C15">
        <v>11</v>
      </c>
      <c r="D15">
        <v>1</v>
      </c>
      <c r="E15" s="2">
        <v>1.44E-6</v>
      </c>
      <c r="F15" s="1">
        <v>2.07E-2</v>
      </c>
      <c r="G15" s="1">
        <v>6.9700000000000002E-6</v>
      </c>
      <c r="I15">
        <v>1</v>
      </c>
      <c r="J15">
        <v>6</v>
      </c>
      <c r="K1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9F0C-A9A6-F147-8E8E-DA0BB0847560}">
  <dimension ref="A1:K16"/>
  <sheetViews>
    <sheetView topLeftCell="B1" zoomScale="170" workbookViewId="0">
      <selection activeCell="B16" sqref="B1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21</v>
      </c>
      <c r="I1" t="s">
        <v>23</v>
      </c>
      <c r="J1" t="s">
        <v>24</v>
      </c>
      <c r="K1" t="s">
        <v>31</v>
      </c>
    </row>
    <row r="2" spans="1:11" x14ac:dyDescent="0.2">
      <c r="A2">
        <v>10</v>
      </c>
      <c r="B2" t="s">
        <v>13</v>
      </c>
      <c r="C2">
        <v>3</v>
      </c>
      <c r="D2">
        <v>1</v>
      </c>
      <c r="E2" s="2">
        <v>1.8099999999999999E-7</v>
      </c>
      <c r="F2" s="2">
        <v>2.6599999999999999E-2</v>
      </c>
      <c r="G2" s="1">
        <v>8.1799999999999996E-6</v>
      </c>
      <c r="I2">
        <v>1</v>
      </c>
      <c r="K2" t="s">
        <v>32</v>
      </c>
    </row>
    <row r="3" spans="1:11" x14ac:dyDescent="0.2">
      <c r="A3">
        <v>7</v>
      </c>
      <c r="B3" t="s">
        <v>10</v>
      </c>
      <c r="C3">
        <v>4</v>
      </c>
      <c r="D3">
        <v>1</v>
      </c>
      <c r="E3" s="2">
        <v>2.5800000000000001E-7</v>
      </c>
      <c r="F3" s="1">
        <v>2.6800000000000001E-2</v>
      </c>
      <c r="G3" s="1">
        <v>7.0600000000000002E-6</v>
      </c>
      <c r="I3">
        <v>1</v>
      </c>
      <c r="K3" t="s">
        <v>33</v>
      </c>
    </row>
    <row r="4" spans="1:11" x14ac:dyDescent="0.2">
      <c r="A4">
        <v>2</v>
      </c>
      <c r="B4" t="s">
        <v>5</v>
      </c>
      <c r="C4">
        <v>6</v>
      </c>
      <c r="D4">
        <v>3</v>
      </c>
      <c r="E4" s="2">
        <v>3.2399999999999999E-7</v>
      </c>
      <c r="F4" s="1">
        <v>1.9900000000000001E-2</v>
      </c>
      <c r="G4" s="3">
        <v>8.9700000000000005E-6</v>
      </c>
      <c r="I4" t="s">
        <v>27</v>
      </c>
      <c r="J4">
        <v>6</v>
      </c>
      <c r="K4" t="s">
        <v>32</v>
      </c>
    </row>
    <row r="5" spans="1:11" x14ac:dyDescent="0.2">
      <c r="A5">
        <v>5</v>
      </c>
      <c r="B5" t="s">
        <v>8</v>
      </c>
      <c r="C5">
        <v>6</v>
      </c>
      <c r="D5">
        <v>4</v>
      </c>
      <c r="E5" s="1">
        <v>3.8500000000000002E-7</v>
      </c>
      <c r="F5" s="2">
        <v>1.9699999999999999E-2</v>
      </c>
      <c r="G5" s="2">
        <v>7.4900000000000003E-6</v>
      </c>
      <c r="I5" t="s">
        <v>35</v>
      </c>
      <c r="J5">
        <v>6</v>
      </c>
      <c r="K5" t="s">
        <v>32</v>
      </c>
    </row>
    <row r="6" spans="1:11" x14ac:dyDescent="0.2">
      <c r="A6">
        <f>A5+1</f>
        <v>6</v>
      </c>
      <c r="B6" t="s">
        <v>15</v>
      </c>
      <c r="C6">
        <v>6</v>
      </c>
      <c r="D6">
        <v>6</v>
      </c>
      <c r="E6" s="2">
        <v>3.89E-7</v>
      </c>
      <c r="F6" s="2">
        <v>5.1700000000000003E-2</v>
      </c>
      <c r="G6" s="2">
        <v>7.52E-6</v>
      </c>
      <c r="H6" t="s">
        <v>42</v>
      </c>
      <c r="I6">
        <v>3</v>
      </c>
      <c r="K6" t="s">
        <v>36</v>
      </c>
    </row>
    <row r="7" spans="1:11" x14ac:dyDescent="0.2">
      <c r="A7">
        <v>4</v>
      </c>
      <c r="B7" t="s">
        <v>7</v>
      </c>
      <c r="C7">
        <v>6</v>
      </c>
      <c r="D7">
        <v>12</v>
      </c>
      <c r="E7" s="1">
        <v>5.4300000000000003E-7</v>
      </c>
      <c r="F7" s="2">
        <v>1.9400000000000001E-2</v>
      </c>
      <c r="G7" s="1">
        <v>8.1799999999999996E-6</v>
      </c>
      <c r="H7" t="s">
        <v>29</v>
      </c>
      <c r="I7" t="s">
        <v>30</v>
      </c>
      <c r="J7">
        <v>5</v>
      </c>
      <c r="K7" t="s">
        <v>34</v>
      </c>
    </row>
    <row r="8" spans="1:11" x14ac:dyDescent="0.2">
      <c r="A8">
        <v>14</v>
      </c>
      <c r="B8" t="s">
        <v>16</v>
      </c>
      <c r="C8">
        <v>13</v>
      </c>
      <c r="D8">
        <v>4</v>
      </c>
      <c r="E8" s="2">
        <v>9.5099999999999998E-7</v>
      </c>
      <c r="F8" s="2">
        <v>4.5100000000000001E-2</v>
      </c>
      <c r="G8" s="2">
        <v>8.2099999999999993E-6</v>
      </c>
      <c r="H8" t="s">
        <v>44</v>
      </c>
      <c r="I8" t="s">
        <v>43</v>
      </c>
      <c r="J8">
        <v>5</v>
      </c>
      <c r="K8" t="s">
        <v>33</v>
      </c>
    </row>
    <row r="9" spans="1:11" x14ac:dyDescent="0.2">
      <c r="A9">
        <v>9</v>
      </c>
      <c r="B9" t="s">
        <v>12</v>
      </c>
      <c r="C9">
        <v>10</v>
      </c>
      <c r="D9">
        <v>2</v>
      </c>
      <c r="E9" s="2">
        <v>1.4100000000000001E-6</v>
      </c>
      <c r="F9" s="2">
        <v>2.1499999999999998E-2</v>
      </c>
      <c r="G9" s="2">
        <v>6.99E-6</v>
      </c>
      <c r="H9" t="s">
        <v>38</v>
      </c>
      <c r="I9" s="2" t="s">
        <v>39</v>
      </c>
      <c r="J9" s="2">
        <v>5</v>
      </c>
      <c r="K9" t="s">
        <v>36</v>
      </c>
    </row>
    <row r="10" spans="1:11" x14ac:dyDescent="0.2">
      <c r="A10">
        <f>A9+1</f>
        <v>10</v>
      </c>
      <c r="B10" t="s">
        <v>17</v>
      </c>
      <c r="C10">
        <v>11</v>
      </c>
      <c r="D10">
        <v>1</v>
      </c>
      <c r="E10" s="2">
        <v>1.44E-6</v>
      </c>
      <c r="F10" s="1">
        <v>2.07E-2</v>
      </c>
      <c r="G10" s="1">
        <v>6.9700000000000002E-6</v>
      </c>
      <c r="I10">
        <v>1</v>
      </c>
      <c r="J10">
        <v>6</v>
      </c>
      <c r="K10" t="s">
        <v>33</v>
      </c>
    </row>
    <row r="11" spans="1:11" x14ac:dyDescent="0.2">
      <c r="A11">
        <v>8</v>
      </c>
      <c r="B11" t="s">
        <v>11</v>
      </c>
      <c r="C11">
        <v>11</v>
      </c>
      <c r="D11">
        <v>5</v>
      </c>
      <c r="E11" s="1">
        <v>1.68E-6</v>
      </c>
      <c r="F11" s="2">
        <v>2.98E-2</v>
      </c>
      <c r="G11" s="1">
        <v>7.4800000000000004E-6</v>
      </c>
      <c r="H11" t="s">
        <v>22</v>
      </c>
      <c r="I11">
        <v>2</v>
      </c>
      <c r="J11" t="s">
        <v>37</v>
      </c>
      <c r="K11" t="s">
        <v>33</v>
      </c>
    </row>
    <row r="12" spans="1:11" x14ac:dyDescent="0.2">
      <c r="A12">
        <v>1</v>
      </c>
      <c r="B12" t="s">
        <v>4</v>
      </c>
      <c r="C12">
        <v>7</v>
      </c>
      <c r="D12">
        <v>1</v>
      </c>
      <c r="E12" s="1">
        <v>2.88E-6</v>
      </c>
      <c r="F12" s="2">
        <v>1.4500000000000001E-2</v>
      </c>
      <c r="G12" s="2">
        <v>1.01E-5</v>
      </c>
      <c r="I12" t="s">
        <v>26</v>
      </c>
      <c r="J12" t="s">
        <v>25</v>
      </c>
      <c r="K12" t="s">
        <v>33</v>
      </c>
    </row>
    <row r="13" spans="1:11" x14ac:dyDescent="0.2">
      <c r="A13">
        <v>6</v>
      </c>
      <c r="B13" t="s">
        <v>9</v>
      </c>
      <c r="C13">
        <v>12</v>
      </c>
      <c r="D13">
        <v>4</v>
      </c>
      <c r="E13" s="1">
        <v>3.0400000000000001E-6</v>
      </c>
      <c r="F13" s="2">
        <v>3.0200000000000001E-2</v>
      </c>
      <c r="G13" s="2">
        <v>7.8800000000000008E-6</v>
      </c>
      <c r="H13" t="s">
        <v>22</v>
      </c>
      <c r="I13">
        <v>1</v>
      </c>
      <c r="J13">
        <v>6</v>
      </c>
      <c r="K13" t="s">
        <v>36</v>
      </c>
    </row>
    <row r="14" spans="1:11" x14ac:dyDescent="0.2">
      <c r="A14">
        <f>A13+1</f>
        <v>7</v>
      </c>
      <c r="B14" t="s">
        <v>14</v>
      </c>
      <c r="C14">
        <v>9</v>
      </c>
      <c r="D14">
        <v>2</v>
      </c>
      <c r="E14" s="1">
        <v>3.9899999999999999E-6</v>
      </c>
      <c r="F14" s="1">
        <v>2.18E-2</v>
      </c>
      <c r="G14" s="1">
        <v>7.9899999999999997E-6</v>
      </c>
      <c r="I14" s="1" t="s">
        <v>40</v>
      </c>
      <c r="J14" s="1">
        <v>5</v>
      </c>
      <c r="K14" t="s">
        <v>41</v>
      </c>
    </row>
    <row r="15" spans="1:11" x14ac:dyDescent="0.2">
      <c r="A15">
        <v>3</v>
      </c>
      <c r="B15" t="s">
        <v>6</v>
      </c>
      <c r="C15">
        <v>7</v>
      </c>
      <c r="D15">
        <v>4</v>
      </c>
      <c r="E15" s="1">
        <v>4.0799999999999999E-6</v>
      </c>
      <c r="F15" s="2">
        <v>2.1899999999999999E-2</v>
      </c>
      <c r="G15" s="3">
        <v>8.3999999999999992E-6</v>
      </c>
      <c r="I15" t="s">
        <v>28</v>
      </c>
      <c r="J15">
        <v>5</v>
      </c>
      <c r="K15" t="s">
        <v>45</v>
      </c>
    </row>
    <row r="16" spans="1:11" x14ac:dyDescent="0.2">
      <c r="F16" s="2"/>
      <c r="G16" s="3"/>
    </row>
  </sheetData>
  <sortState xmlns:xlrd2="http://schemas.microsoft.com/office/spreadsheetml/2017/richdata2" ref="A2:K23">
    <sortCondition ref="E2:E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3DC0-DA46-BA4A-A11B-46758BC21403}">
  <dimension ref="A1:S63"/>
  <sheetViews>
    <sheetView tabSelected="1" topLeftCell="A29" zoomScale="99" workbookViewId="0">
      <selection activeCell="K2" sqref="K2"/>
    </sheetView>
  </sheetViews>
  <sheetFormatPr baseColWidth="10" defaultRowHeight="16" x14ac:dyDescent="0.2"/>
  <cols>
    <col min="10" max="10" width="28" customWidth="1"/>
    <col min="11" max="11" width="10.1640625" customWidth="1"/>
    <col min="15" max="15" width="14.33203125" customWidth="1"/>
    <col min="16" max="16" width="14.33203125" bestFit="1" customWidth="1"/>
    <col min="17" max="17" width="12.1640625" bestFit="1" customWidth="1"/>
    <col min="18" max="18" width="51.83203125" customWidth="1"/>
  </cols>
  <sheetData>
    <row r="1" spans="1:19" x14ac:dyDescent="0.2">
      <c r="L1" t="s">
        <v>57</v>
      </c>
      <c r="O1" t="s">
        <v>58</v>
      </c>
      <c r="R1" t="s">
        <v>72</v>
      </c>
      <c r="S1" t="s">
        <v>73</v>
      </c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E2" t="s">
        <v>18</v>
      </c>
      <c r="F2" t="s">
        <v>19</v>
      </c>
      <c r="G2" t="s">
        <v>20</v>
      </c>
      <c r="H2" t="s">
        <v>21</v>
      </c>
      <c r="I2" t="s">
        <v>23</v>
      </c>
      <c r="J2" t="s">
        <v>31</v>
      </c>
      <c r="K2" t="s">
        <v>76</v>
      </c>
      <c r="L2" t="s">
        <v>50</v>
      </c>
      <c r="M2" t="s">
        <v>56</v>
      </c>
      <c r="N2" t="s">
        <v>55</v>
      </c>
      <c r="O2" t="s">
        <v>59</v>
      </c>
      <c r="P2" t="s">
        <v>60</v>
      </c>
      <c r="Q2" t="s">
        <v>61</v>
      </c>
    </row>
    <row r="3" spans="1:19" x14ac:dyDescent="0.2">
      <c r="A3">
        <v>1</v>
      </c>
      <c r="B3" t="s">
        <v>4</v>
      </c>
      <c r="C3">
        <v>7</v>
      </c>
      <c r="D3">
        <v>1</v>
      </c>
      <c r="E3" s="1">
        <v>2.88E-6</v>
      </c>
      <c r="F3" s="2">
        <v>1.4500000000000001E-2</v>
      </c>
      <c r="G3" s="2">
        <v>1.01E-5</v>
      </c>
      <c r="I3" t="s">
        <v>26</v>
      </c>
      <c r="J3" t="s">
        <v>33</v>
      </c>
      <c r="K3">
        <v>1</v>
      </c>
      <c r="L3">
        <v>4</v>
      </c>
      <c r="M3">
        <v>1.786</v>
      </c>
      <c r="N3" s="6">
        <v>2.12</v>
      </c>
      <c r="O3">
        <f>M3/N3</f>
        <v>0.84245283018867922</v>
      </c>
      <c r="P3">
        <f>L3/M3</f>
        <v>2.2396416573348263</v>
      </c>
      <c r="Q3">
        <f>L3/N3</f>
        <v>1.8867924528301885</v>
      </c>
    </row>
    <row r="4" spans="1:19" x14ac:dyDescent="0.2">
      <c r="E4" s="1"/>
      <c r="F4" s="2"/>
      <c r="G4" s="2"/>
      <c r="J4" t="s">
        <v>33</v>
      </c>
      <c r="K4">
        <v>2</v>
      </c>
      <c r="L4">
        <v>4</v>
      </c>
      <c r="M4">
        <v>1.4039999999999999</v>
      </c>
      <c r="N4">
        <v>1.538</v>
      </c>
      <c r="O4">
        <f t="shared" ref="O4" si="0">M4/N4</f>
        <v>0.91287386215864752</v>
      </c>
      <c r="P4">
        <f t="shared" ref="P4" si="1">L4/M4</f>
        <v>2.8490028490028494</v>
      </c>
      <c r="Q4">
        <f t="shared" ref="Q4" si="2">L4/N4</f>
        <v>2.6007802340702209</v>
      </c>
    </row>
    <row r="5" spans="1:19" x14ac:dyDescent="0.2">
      <c r="E5" s="1"/>
      <c r="F5" s="2"/>
      <c r="G5" s="2"/>
      <c r="J5" t="s">
        <v>33</v>
      </c>
      <c r="K5">
        <v>3</v>
      </c>
      <c r="M5">
        <v>1.6120000000000001</v>
      </c>
      <c r="N5">
        <v>1.764</v>
      </c>
      <c r="R5" t="s">
        <v>62</v>
      </c>
    </row>
    <row r="6" spans="1:19" x14ac:dyDescent="0.2">
      <c r="E6" s="1"/>
      <c r="F6" s="2"/>
      <c r="G6" s="2"/>
      <c r="J6" t="s">
        <v>33</v>
      </c>
      <c r="K6">
        <v>4</v>
      </c>
      <c r="M6">
        <f>2*0.727</f>
        <v>1.454</v>
      </c>
      <c r="N6">
        <v>1.6160000000000001</v>
      </c>
      <c r="R6" t="s">
        <v>62</v>
      </c>
    </row>
    <row r="7" spans="1:19" x14ac:dyDescent="0.2">
      <c r="A7">
        <v>2</v>
      </c>
      <c r="B7" t="s">
        <v>5</v>
      </c>
      <c r="C7">
        <v>6</v>
      </c>
      <c r="D7">
        <v>3</v>
      </c>
      <c r="E7" s="2">
        <v>3.2399999999999999E-7</v>
      </c>
      <c r="F7" s="1">
        <v>1.9900000000000001E-2</v>
      </c>
      <c r="G7" s="3">
        <v>8.9700000000000005E-6</v>
      </c>
      <c r="I7" t="s">
        <v>27</v>
      </c>
      <c r="J7" t="s">
        <v>32</v>
      </c>
      <c r="K7">
        <v>1</v>
      </c>
      <c r="L7">
        <v>6</v>
      </c>
      <c r="M7">
        <v>1.8080000000000001</v>
      </c>
      <c r="N7">
        <v>2.2629999999999999</v>
      </c>
      <c r="O7">
        <f>M7/N7</f>
        <v>0.79893946089262047</v>
      </c>
      <c r="P7">
        <f t="shared" ref="P7:P53" si="3">L7/M7</f>
        <v>3.3185840707964602</v>
      </c>
      <c r="Q7">
        <f t="shared" ref="Q7:Q53" si="4">L7/N7</f>
        <v>2.6513477684489617</v>
      </c>
    </row>
    <row r="8" spans="1:19" x14ac:dyDescent="0.2">
      <c r="E8" s="1"/>
      <c r="F8" s="2"/>
      <c r="G8" s="3"/>
      <c r="J8" t="s">
        <v>33</v>
      </c>
      <c r="K8">
        <v>2</v>
      </c>
      <c r="M8">
        <v>0.93500000000000005</v>
      </c>
      <c r="N8" s="6">
        <v>1.056</v>
      </c>
      <c r="O8">
        <f t="shared" ref="O8:O56" si="5">M8/N8</f>
        <v>0.88541666666666663</v>
      </c>
    </row>
    <row r="9" spans="1:19" x14ac:dyDescent="0.2">
      <c r="E9" s="1"/>
      <c r="F9" s="2"/>
      <c r="G9" s="3"/>
      <c r="J9" t="s">
        <v>65</v>
      </c>
      <c r="K9">
        <v>3</v>
      </c>
      <c r="M9">
        <f>0.755</f>
        <v>0.755</v>
      </c>
      <c r="N9" s="6">
        <f>0.469*2</f>
        <v>0.93799999999999994</v>
      </c>
      <c r="O9">
        <f t="shared" si="5"/>
        <v>0.80490405117270791</v>
      </c>
      <c r="R9" t="s">
        <v>62</v>
      </c>
    </row>
    <row r="10" spans="1:19" x14ac:dyDescent="0.2">
      <c r="E10" s="1"/>
      <c r="F10" s="2"/>
      <c r="G10" s="3"/>
      <c r="J10" t="s">
        <v>33</v>
      </c>
      <c r="K10">
        <v>4</v>
      </c>
      <c r="M10">
        <v>0.69299999999999995</v>
      </c>
      <c r="N10" s="6">
        <v>0.76700000000000002</v>
      </c>
      <c r="O10">
        <f t="shared" si="5"/>
        <v>0.9035202086049543</v>
      </c>
      <c r="R10" t="s">
        <v>62</v>
      </c>
    </row>
    <row r="11" spans="1:19" x14ac:dyDescent="0.2">
      <c r="A11">
        <v>3</v>
      </c>
      <c r="B11" t="s">
        <v>6</v>
      </c>
      <c r="C11">
        <v>7</v>
      </c>
      <c r="D11">
        <v>4</v>
      </c>
      <c r="E11" s="1">
        <v>4.0799999999999999E-6</v>
      </c>
      <c r="F11" s="2">
        <v>2.1899999999999999E-2</v>
      </c>
      <c r="G11" s="3">
        <v>8.3999999999999992E-6</v>
      </c>
      <c r="I11" t="s">
        <v>28</v>
      </c>
      <c r="J11" t="s">
        <v>45</v>
      </c>
      <c r="K11">
        <v>1</v>
      </c>
      <c r="L11">
        <v>4</v>
      </c>
      <c r="M11">
        <v>1.216</v>
      </c>
      <c r="N11" s="6">
        <v>1.238</v>
      </c>
      <c r="O11">
        <f t="shared" si="5"/>
        <v>0.9822294022617124</v>
      </c>
      <c r="P11">
        <f t="shared" si="3"/>
        <v>3.2894736842105265</v>
      </c>
      <c r="Q11">
        <f t="shared" si="4"/>
        <v>3.2310177705977385</v>
      </c>
    </row>
    <row r="12" spans="1:19" x14ac:dyDescent="0.2">
      <c r="E12" s="1"/>
      <c r="F12" s="2"/>
      <c r="G12" s="3"/>
      <c r="J12" t="s">
        <v>33</v>
      </c>
      <c r="K12">
        <v>2</v>
      </c>
      <c r="L12">
        <v>5</v>
      </c>
      <c r="M12">
        <v>1.137</v>
      </c>
      <c r="N12" s="6">
        <v>1.31</v>
      </c>
      <c r="O12">
        <f t="shared" si="5"/>
        <v>0.86793893129770994</v>
      </c>
      <c r="P12">
        <f t="shared" si="3"/>
        <v>4.3975373790677219</v>
      </c>
      <c r="Q12">
        <f t="shared" si="4"/>
        <v>3.8167938931297707</v>
      </c>
    </row>
    <row r="13" spans="1:19" x14ac:dyDescent="0.2">
      <c r="E13" s="1"/>
      <c r="F13" s="2"/>
      <c r="G13" s="3"/>
      <c r="J13" t="s">
        <v>65</v>
      </c>
      <c r="K13">
        <v>3</v>
      </c>
      <c r="L13">
        <v>4</v>
      </c>
      <c r="M13">
        <v>1.1040000000000001</v>
      </c>
      <c r="N13" s="6">
        <v>1.194</v>
      </c>
      <c r="O13">
        <f t="shared" si="5"/>
        <v>0.92462311557788956</v>
      </c>
      <c r="P13">
        <f t="shared" si="3"/>
        <v>3.6231884057971011</v>
      </c>
      <c r="Q13">
        <f t="shared" si="4"/>
        <v>3.3500837520938025</v>
      </c>
    </row>
    <row r="14" spans="1:19" x14ac:dyDescent="0.2">
      <c r="E14" s="1"/>
      <c r="F14" s="2"/>
      <c r="G14" s="3"/>
      <c r="J14" t="s">
        <v>36</v>
      </c>
      <c r="K14">
        <v>4</v>
      </c>
      <c r="M14">
        <v>1.119</v>
      </c>
      <c r="N14" s="6">
        <v>1.228</v>
      </c>
      <c r="O14">
        <f t="shared" si="5"/>
        <v>0.91123778501628661</v>
      </c>
    </row>
    <row r="15" spans="1:19" x14ac:dyDescent="0.2">
      <c r="E15" s="1"/>
      <c r="F15" s="2"/>
      <c r="G15" s="3"/>
      <c r="J15" t="s">
        <v>33</v>
      </c>
      <c r="K15">
        <v>5</v>
      </c>
      <c r="M15">
        <v>0.91500000000000004</v>
      </c>
      <c r="N15" s="6">
        <v>1.0629999999999999</v>
      </c>
      <c r="O15">
        <f t="shared" si="5"/>
        <v>0.86077140169332089</v>
      </c>
    </row>
    <row r="16" spans="1:19" x14ac:dyDescent="0.2">
      <c r="E16" s="1"/>
      <c r="F16" s="2"/>
      <c r="G16" s="3"/>
      <c r="J16" t="s">
        <v>65</v>
      </c>
      <c r="K16">
        <v>6</v>
      </c>
      <c r="L16">
        <v>3</v>
      </c>
      <c r="M16">
        <v>0.53900000000000003</v>
      </c>
      <c r="N16" s="6">
        <v>0.56899999999999995</v>
      </c>
      <c r="O16">
        <f t="shared" si="5"/>
        <v>0.94727592267135341</v>
      </c>
    </row>
    <row r="17" spans="1:19" x14ac:dyDescent="0.2">
      <c r="E17" s="1"/>
      <c r="F17" s="2"/>
      <c r="G17" s="3"/>
      <c r="J17" t="s">
        <v>65</v>
      </c>
      <c r="K17">
        <v>7</v>
      </c>
      <c r="M17">
        <f>0.552*2</f>
        <v>1.1040000000000001</v>
      </c>
      <c r="N17" s="6">
        <f>2*0.565</f>
        <v>1.1299999999999999</v>
      </c>
      <c r="O17">
        <f t="shared" si="5"/>
        <v>0.97699115044247808</v>
      </c>
      <c r="R17" t="s">
        <v>62</v>
      </c>
      <c r="S17" t="s">
        <v>66</v>
      </c>
    </row>
    <row r="18" spans="1:19" x14ac:dyDescent="0.2">
      <c r="A18">
        <v>4</v>
      </c>
      <c r="B18" t="s">
        <v>7</v>
      </c>
      <c r="C18">
        <v>6</v>
      </c>
      <c r="D18">
        <v>12</v>
      </c>
      <c r="E18" s="1">
        <v>5.4300000000000003E-7</v>
      </c>
      <c r="F18" s="2">
        <v>1.9400000000000001E-2</v>
      </c>
      <c r="G18" s="1">
        <v>8.1799999999999996E-6</v>
      </c>
      <c r="H18" t="s">
        <v>29</v>
      </c>
      <c r="I18" t="s">
        <v>30</v>
      </c>
      <c r="J18" t="s">
        <v>36</v>
      </c>
      <c r="K18">
        <v>1</v>
      </c>
      <c r="L18">
        <v>4</v>
      </c>
      <c r="M18">
        <v>1.0760000000000001</v>
      </c>
      <c r="N18">
        <v>1.2330000000000001</v>
      </c>
      <c r="O18">
        <f t="shared" ref="O18" si="6">M18/N18</f>
        <v>0.87266828872668289</v>
      </c>
      <c r="P18">
        <f t="shared" ref="P18:P19" si="7">L18/M18</f>
        <v>3.7174721189591078</v>
      </c>
      <c r="Q18">
        <f t="shared" ref="Q18:Q19" si="8">L18/N18</f>
        <v>3.2441200324412001</v>
      </c>
    </row>
    <row r="19" spans="1:19" x14ac:dyDescent="0.2">
      <c r="E19" s="1"/>
      <c r="F19" s="2"/>
      <c r="G19" s="1"/>
      <c r="J19" t="s">
        <v>33</v>
      </c>
      <c r="K19">
        <v>2</v>
      </c>
      <c r="L19">
        <v>4</v>
      </c>
      <c r="M19">
        <v>1.0609999999999999</v>
      </c>
      <c r="N19" s="6">
        <v>1.1299999999999999</v>
      </c>
      <c r="O19">
        <f t="shared" si="5"/>
        <v>0.93893805309734513</v>
      </c>
      <c r="P19">
        <f t="shared" si="3"/>
        <v>3.7700282752120642</v>
      </c>
      <c r="Q19">
        <f t="shared" si="4"/>
        <v>3.5398230088495577</v>
      </c>
    </row>
    <row r="20" spans="1:19" x14ac:dyDescent="0.2">
      <c r="E20" s="1"/>
      <c r="F20" s="2"/>
      <c r="G20" s="1"/>
      <c r="J20" t="s">
        <v>32</v>
      </c>
      <c r="K20">
        <v>3</v>
      </c>
      <c r="M20">
        <v>0.93700000000000006</v>
      </c>
      <c r="N20" s="6">
        <v>1.034</v>
      </c>
      <c r="O20">
        <f t="shared" si="5"/>
        <v>0.90618955512572541</v>
      </c>
    </row>
    <row r="21" spans="1:19" x14ac:dyDescent="0.2">
      <c r="E21" s="1"/>
      <c r="F21" s="2"/>
      <c r="G21" s="1"/>
      <c r="J21" t="s">
        <v>33</v>
      </c>
      <c r="K21">
        <v>4</v>
      </c>
      <c r="M21">
        <v>0.54300000000000004</v>
      </c>
      <c r="N21" s="6">
        <v>0.73599999999999999</v>
      </c>
      <c r="O21">
        <f t="shared" si="5"/>
        <v>0.73777173913043481</v>
      </c>
      <c r="R21" t="s">
        <v>63</v>
      </c>
    </row>
    <row r="22" spans="1:19" x14ac:dyDescent="0.2">
      <c r="E22" s="1"/>
      <c r="F22" s="2"/>
      <c r="G22" s="1"/>
      <c r="J22" t="s">
        <v>45</v>
      </c>
      <c r="K22">
        <v>5</v>
      </c>
      <c r="N22" s="6">
        <v>1.37</v>
      </c>
      <c r="R22" t="s">
        <v>62</v>
      </c>
      <c r="S22" t="s">
        <v>64</v>
      </c>
    </row>
    <row r="23" spans="1:19" x14ac:dyDescent="0.2">
      <c r="E23" s="1"/>
      <c r="F23" s="2"/>
      <c r="G23" s="1"/>
      <c r="J23" t="s">
        <v>65</v>
      </c>
      <c r="K23">
        <v>6</v>
      </c>
      <c r="N23" s="6">
        <v>1.149</v>
      </c>
      <c r="R23" t="s">
        <v>62</v>
      </c>
    </row>
    <row r="24" spans="1:19" x14ac:dyDescent="0.2">
      <c r="E24" s="1"/>
      <c r="F24" s="2"/>
      <c r="G24" s="1"/>
      <c r="J24" t="s">
        <v>36</v>
      </c>
      <c r="K24">
        <v>7</v>
      </c>
      <c r="N24" s="6">
        <v>1.1379999999999999</v>
      </c>
      <c r="R24" t="s">
        <v>62</v>
      </c>
    </row>
    <row r="25" spans="1:19" x14ac:dyDescent="0.2">
      <c r="E25" s="1"/>
      <c r="F25" s="2"/>
      <c r="G25" s="1"/>
      <c r="J25" t="s">
        <v>65</v>
      </c>
      <c r="K25">
        <v>8</v>
      </c>
      <c r="N25" s="6">
        <v>1.1679999999999999</v>
      </c>
      <c r="R25" t="s">
        <v>62</v>
      </c>
    </row>
    <row r="26" spans="1:19" x14ac:dyDescent="0.2">
      <c r="A26">
        <v>5</v>
      </c>
      <c r="B26" t="s">
        <v>8</v>
      </c>
      <c r="C26">
        <v>6</v>
      </c>
      <c r="D26">
        <v>4</v>
      </c>
      <c r="E26" s="1">
        <v>3.8500000000000002E-7</v>
      </c>
      <c r="F26" s="2">
        <v>1.9699999999999999E-2</v>
      </c>
      <c r="G26" s="2">
        <v>7.4900000000000003E-6</v>
      </c>
      <c r="I26" t="s">
        <v>35</v>
      </c>
      <c r="J26" t="s">
        <v>33</v>
      </c>
      <c r="K26">
        <v>1</v>
      </c>
      <c r="L26">
        <v>5</v>
      </c>
      <c r="M26">
        <f>0.61*2</f>
        <v>1.22</v>
      </c>
      <c r="N26" s="6">
        <v>1.766</v>
      </c>
      <c r="O26">
        <f t="shared" si="5"/>
        <v>0.69082672706681769</v>
      </c>
      <c r="P26">
        <f t="shared" si="3"/>
        <v>4.0983606557377046</v>
      </c>
      <c r="Q26">
        <f t="shared" si="4"/>
        <v>2.8312570781426953</v>
      </c>
      <c r="R26" t="s">
        <v>62</v>
      </c>
    </row>
    <row r="27" spans="1:19" x14ac:dyDescent="0.2">
      <c r="E27" s="1"/>
      <c r="F27" s="2"/>
      <c r="G27" s="2"/>
      <c r="J27" t="s">
        <v>33</v>
      </c>
      <c r="K27">
        <v>2</v>
      </c>
      <c r="M27">
        <v>1.0289999999999999</v>
      </c>
      <c r="N27" s="6">
        <v>1.1120000000000001</v>
      </c>
      <c r="O27">
        <f t="shared" si="5"/>
        <v>0.92535971223021563</v>
      </c>
    </row>
    <row r="28" spans="1:19" x14ac:dyDescent="0.2">
      <c r="E28" s="1"/>
      <c r="F28" s="2"/>
      <c r="G28" s="2"/>
      <c r="J28" t="s">
        <v>33</v>
      </c>
      <c r="K28">
        <v>3</v>
      </c>
      <c r="M28">
        <v>0.71299999999999997</v>
      </c>
      <c r="N28" s="6">
        <v>0.80500000000000005</v>
      </c>
      <c r="O28">
        <f t="shared" si="5"/>
        <v>0.88571428571428557</v>
      </c>
    </row>
    <row r="29" spans="1:19" x14ac:dyDescent="0.2">
      <c r="E29" s="1"/>
      <c r="F29" s="2"/>
      <c r="G29" s="2"/>
      <c r="J29" t="s">
        <v>33</v>
      </c>
      <c r="K29">
        <v>4</v>
      </c>
      <c r="L29">
        <v>4</v>
      </c>
      <c r="M29">
        <v>0.88700000000000001</v>
      </c>
      <c r="N29" s="6">
        <v>0.92500000000000004</v>
      </c>
      <c r="O29">
        <f t="shared" si="5"/>
        <v>0.95891891891891889</v>
      </c>
      <c r="P29">
        <f t="shared" si="3"/>
        <v>4.5095828635851181</v>
      </c>
      <c r="Q29">
        <f t="shared" si="4"/>
        <v>4.3243243243243237</v>
      </c>
      <c r="R29" t="s">
        <v>62</v>
      </c>
    </row>
    <row r="30" spans="1:19" x14ac:dyDescent="0.2">
      <c r="E30" s="1"/>
      <c r="F30" s="2"/>
      <c r="G30" s="2"/>
      <c r="J30" t="s">
        <v>33</v>
      </c>
      <c r="K30">
        <v>5</v>
      </c>
      <c r="M30">
        <f>0.654*2</f>
        <v>1.3080000000000001</v>
      </c>
      <c r="N30" s="6">
        <v>1.5149999999999999</v>
      </c>
      <c r="O30">
        <f t="shared" si="5"/>
        <v>0.86336633663366347</v>
      </c>
      <c r="R30" t="s">
        <v>62</v>
      </c>
    </row>
    <row r="31" spans="1:19" x14ac:dyDescent="0.2">
      <c r="A31">
        <v>6</v>
      </c>
      <c r="B31" t="s">
        <v>9</v>
      </c>
      <c r="C31">
        <v>12</v>
      </c>
      <c r="D31">
        <v>4</v>
      </c>
      <c r="E31" s="1">
        <v>3.0400000000000001E-6</v>
      </c>
      <c r="F31" s="2">
        <v>3.0200000000000001E-2</v>
      </c>
      <c r="G31" s="2">
        <v>7.8800000000000008E-6</v>
      </c>
      <c r="H31" t="s">
        <v>22</v>
      </c>
      <c r="I31">
        <v>1</v>
      </c>
      <c r="J31" t="s">
        <v>36</v>
      </c>
      <c r="K31">
        <v>1</v>
      </c>
      <c r="L31">
        <v>5</v>
      </c>
      <c r="M31">
        <v>1.96</v>
      </c>
      <c r="N31" s="6">
        <v>2.2349999999999999</v>
      </c>
      <c r="O31">
        <f t="shared" si="5"/>
        <v>0.87695749440715887</v>
      </c>
      <c r="P31">
        <f t="shared" si="3"/>
        <v>2.5510204081632653</v>
      </c>
      <c r="Q31">
        <f t="shared" si="4"/>
        <v>2.2371364653243848</v>
      </c>
    </row>
    <row r="32" spans="1:19" s="7" customFormat="1" x14ac:dyDescent="0.2">
      <c r="A32" s="7">
        <v>7</v>
      </c>
      <c r="B32" s="7" t="s">
        <v>10</v>
      </c>
      <c r="C32" s="7">
        <v>4</v>
      </c>
      <c r="D32" s="7">
        <v>1</v>
      </c>
      <c r="E32" s="5">
        <v>2.5800000000000001E-7</v>
      </c>
      <c r="F32" s="4">
        <v>2.6800000000000001E-2</v>
      </c>
      <c r="G32" s="4">
        <v>7.0600000000000002E-6</v>
      </c>
      <c r="I32" s="7">
        <v>1</v>
      </c>
      <c r="J32" s="7" t="s">
        <v>41</v>
      </c>
      <c r="P32"/>
      <c r="R32" s="7" t="s">
        <v>74</v>
      </c>
    </row>
    <row r="33" spans="1:19" s="7" customFormat="1" x14ac:dyDescent="0.2">
      <c r="A33" s="7">
        <v>8</v>
      </c>
      <c r="B33" s="7" t="s">
        <v>11</v>
      </c>
      <c r="C33" s="7">
        <v>11</v>
      </c>
      <c r="D33" s="7">
        <v>5</v>
      </c>
      <c r="E33" s="4">
        <v>1.68E-6</v>
      </c>
      <c r="F33" s="5">
        <v>2.98E-2</v>
      </c>
      <c r="G33" s="4">
        <v>7.4800000000000004E-6</v>
      </c>
      <c r="H33" s="7" t="s">
        <v>22</v>
      </c>
      <c r="I33" s="7">
        <v>2</v>
      </c>
      <c r="J33" s="7" t="s">
        <v>45</v>
      </c>
      <c r="P33"/>
      <c r="R33" s="7" t="s">
        <v>74</v>
      </c>
    </row>
    <row r="34" spans="1:19" x14ac:dyDescent="0.2">
      <c r="A34">
        <v>9</v>
      </c>
      <c r="B34" t="s">
        <v>12</v>
      </c>
      <c r="C34">
        <v>10</v>
      </c>
      <c r="D34">
        <v>2</v>
      </c>
      <c r="E34" s="2">
        <v>1.4100000000000001E-6</v>
      </c>
      <c r="F34" s="2">
        <v>2.1499999999999998E-2</v>
      </c>
      <c r="G34" s="2">
        <v>6.99E-6</v>
      </c>
      <c r="H34" t="s">
        <v>38</v>
      </c>
      <c r="I34" s="2" t="s">
        <v>39</v>
      </c>
      <c r="J34" t="s">
        <v>65</v>
      </c>
      <c r="K34">
        <v>1</v>
      </c>
      <c r="M34">
        <v>1.6419999999999999</v>
      </c>
      <c r="N34" s="6">
        <v>1.7190000000000001</v>
      </c>
      <c r="O34">
        <f t="shared" si="5"/>
        <v>0.95520651541593937</v>
      </c>
      <c r="P34">
        <f t="shared" si="3"/>
        <v>0</v>
      </c>
      <c r="Q34">
        <f t="shared" si="4"/>
        <v>0</v>
      </c>
    </row>
    <row r="35" spans="1:19" x14ac:dyDescent="0.2">
      <c r="E35" s="2"/>
      <c r="F35" s="2"/>
      <c r="G35" s="2"/>
      <c r="I35" s="2"/>
      <c r="J35" t="s">
        <v>36</v>
      </c>
      <c r="K35">
        <v>2</v>
      </c>
      <c r="L35">
        <v>4</v>
      </c>
      <c r="M35">
        <v>0.96899999999999997</v>
      </c>
      <c r="N35" s="6">
        <v>1.0449999999999999</v>
      </c>
      <c r="O35">
        <f t="shared" si="5"/>
        <v>0.92727272727272736</v>
      </c>
      <c r="P35">
        <f t="shared" si="3"/>
        <v>4.1279669762641902</v>
      </c>
      <c r="Q35">
        <f t="shared" si="4"/>
        <v>3.8277511961722492</v>
      </c>
      <c r="S35" t="s">
        <v>67</v>
      </c>
    </row>
    <row r="36" spans="1:19" x14ac:dyDescent="0.2">
      <c r="E36" s="2"/>
      <c r="F36" s="2"/>
      <c r="G36" s="2"/>
      <c r="I36" s="2"/>
      <c r="J36" t="s">
        <v>36</v>
      </c>
      <c r="K36">
        <v>3</v>
      </c>
      <c r="L36">
        <v>3</v>
      </c>
      <c r="M36">
        <v>1.073</v>
      </c>
      <c r="N36" s="6">
        <v>1.2769999999999999</v>
      </c>
      <c r="O36">
        <f t="shared" si="5"/>
        <v>0.84025058731401725</v>
      </c>
      <c r="P36">
        <f t="shared" si="3"/>
        <v>2.7958993476234855</v>
      </c>
      <c r="Q36">
        <f t="shared" si="4"/>
        <v>2.3492560689115116</v>
      </c>
      <c r="S36" t="s">
        <v>68</v>
      </c>
    </row>
    <row r="37" spans="1:19" x14ac:dyDescent="0.2">
      <c r="E37" s="2"/>
      <c r="F37" s="2"/>
      <c r="G37" s="2"/>
      <c r="I37" s="2"/>
      <c r="J37" t="s">
        <v>36</v>
      </c>
      <c r="K37">
        <v>4</v>
      </c>
      <c r="M37" s="6">
        <v>0.87</v>
      </c>
      <c r="N37" s="6">
        <v>1.228</v>
      </c>
      <c r="O37">
        <f t="shared" si="5"/>
        <v>0.70846905537459282</v>
      </c>
      <c r="P37">
        <f t="shared" si="3"/>
        <v>0</v>
      </c>
      <c r="Q37">
        <f t="shared" si="4"/>
        <v>0</v>
      </c>
      <c r="R37" t="s">
        <v>63</v>
      </c>
    </row>
    <row r="38" spans="1:19" x14ac:dyDescent="0.2">
      <c r="E38" s="2"/>
      <c r="F38" s="2"/>
      <c r="G38" s="2"/>
      <c r="I38" s="2"/>
      <c r="J38" t="s">
        <v>36</v>
      </c>
      <c r="K38">
        <v>5</v>
      </c>
      <c r="M38">
        <v>0.59399999999999997</v>
      </c>
      <c r="N38" s="6">
        <v>0.76900000000000002</v>
      </c>
      <c r="O38">
        <f t="shared" si="5"/>
        <v>0.77243172951885564</v>
      </c>
      <c r="P38">
        <f t="shared" si="3"/>
        <v>0</v>
      </c>
      <c r="Q38">
        <f t="shared" si="4"/>
        <v>0</v>
      </c>
    </row>
    <row r="39" spans="1:19" x14ac:dyDescent="0.2">
      <c r="E39" s="2"/>
      <c r="F39" s="2"/>
      <c r="G39" s="2"/>
      <c r="I39" s="2"/>
      <c r="J39" t="s">
        <v>36</v>
      </c>
      <c r="K39">
        <v>6</v>
      </c>
      <c r="L39">
        <v>3</v>
      </c>
      <c r="M39">
        <v>1.6439999999999999</v>
      </c>
      <c r="N39" s="6">
        <v>1.671</v>
      </c>
      <c r="O39">
        <f t="shared" si="5"/>
        <v>0.98384201077199274</v>
      </c>
      <c r="P39">
        <f t="shared" si="3"/>
        <v>1.8248175182481754</v>
      </c>
      <c r="Q39">
        <f t="shared" si="4"/>
        <v>1.7953321364452424</v>
      </c>
      <c r="R39" t="s">
        <v>62</v>
      </c>
    </row>
    <row r="40" spans="1:19" x14ac:dyDescent="0.2">
      <c r="E40" s="2"/>
      <c r="F40" s="2"/>
      <c r="G40" s="2"/>
      <c r="I40" s="2"/>
      <c r="J40" t="s">
        <v>36</v>
      </c>
      <c r="K40">
        <v>7</v>
      </c>
      <c r="L40">
        <v>4</v>
      </c>
      <c r="M40">
        <v>1.702</v>
      </c>
      <c r="N40" s="6">
        <v>1.8460000000000001</v>
      </c>
      <c r="O40">
        <f t="shared" si="5"/>
        <v>0.92199349945828812</v>
      </c>
      <c r="P40">
        <f t="shared" si="3"/>
        <v>2.3501762632197414</v>
      </c>
      <c r="Q40">
        <f t="shared" si="4"/>
        <v>2.1668472372697725</v>
      </c>
      <c r="R40" t="s">
        <v>63</v>
      </c>
    </row>
    <row r="41" spans="1:19" s="7" customFormat="1" x14ac:dyDescent="0.2">
      <c r="A41" s="7">
        <v>10</v>
      </c>
      <c r="B41" s="7" t="s">
        <v>13</v>
      </c>
      <c r="C41" s="7">
        <v>3</v>
      </c>
      <c r="D41" s="7">
        <v>1</v>
      </c>
      <c r="E41" s="5">
        <v>1.8099999999999999E-7</v>
      </c>
      <c r="F41" s="5">
        <v>2.6599999999999999E-2</v>
      </c>
      <c r="G41" s="4">
        <v>8.1799999999999996E-6</v>
      </c>
      <c r="I41" s="7">
        <v>1</v>
      </c>
      <c r="J41" s="7" t="s">
        <v>36</v>
      </c>
      <c r="R41" s="7" t="s">
        <v>74</v>
      </c>
    </row>
    <row r="42" spans="1:19" x14ac:dyDescent="0.2">
      <c r="A42">
        <f>A41+1</f>
        <v>11</v>
      </c>
      <c r="B42" t="s">
        <v>14</v>
      </c>
      <c r="C42">
        <v>9</v>
      </c>
      <c r="D42">
        <v>2</v>
      </c>
      <c r="E42" s="1">
        <v>3.9899999999999999E-6</v>
      </c>
      <c r="F42" s="1">
        <v>2.18E-2</v>
      </c>
      <c r="G42" s="1">
        <v>7.9899999999999997E-6</v>
      </c>
      <c r="I42" s="1" t="s">
        <v>40</v>
      </c>
      <c r="J42" t="s">
        <v>36</v>
      </c>
      <c r="K42">
        <v>1</v>
      </c>
      <c r="L42">
        <v>3</v>
      </c>
      <c r="M42" s="6">
        <v>1.1100000000000001</v>
      </c>
      <c r="N42" s="6">
        <v>1.254</v>
      </c>
      <c r="O42">
        <f t="shared" si="5"/>
        <v>0.8851674641148326</v>
      </c>
      <c r="P42">
        <f t="shared" si="3"/>
        <v>2.7027027027027026</v>
      </c>
      <c r="Q42">
        <f t="shared" si="4"/>
        <v>2.3923444976076556</v>
      </c>
    </row>
    <row r="43" spans="1:19" x14ac:dyDescent="0.2">
      <c r="E43" s="1"/>
      <c r="F43" s="1"/>
      <c r="G43" s="1"/>
      <c r="I43" s="1"/>
      <c r="J43" t="s">
        <v>33</v>
      </c>
      <c r="K43">
        <v>2</v>
      </c>
      <c r="L43">
        <v>4</v>
      </c>
      <c r="M43" s="6">
        <v>0.88</v>
      </c>
      <c r="N43" s="6">
        <v>1.113</v>
      </c>
      <c r="O43">
        <f t="shared" si="5"/>
        <v>0.79065588499550765</v>
      </c>
      <c r="P43">
        <f t="shared" si="3"/>
        <v>4.5454545454545459</v>
      </c>
      <c r="Q43">
        <f t="shared" si="4"/>
        <v>3.5938903863432166</v>
      </c>
      <c r="R43" t="s">
        <v>63</v>
      </c>
    </row>
    <row r="44" spans="1:19" x14ac:dyDescent="0.2">
      <c r="E44" s="1"/>
      <c r="F44" s="1"/>
      <c r="G44" s="1"/>
      <c r="I44" s="1"/>
      <c r="J44" t="s">
        <v>36</v>
      </c>
      <c r="K44">
        <v>3</v>
      </c>
      <c r="M44">
        <v>0.89100000000000001</v>
      </c>
      <c r="N44" s="6">
        <v>0.97599999999999998</v>
      </c>
      <c r="O44">
        <f t="shared" si="5"/>
        <v>0.91290983606557385</v>
      </c>
    </row>
    <row r="45" spans="1:19" x14ac:dyDescent="0.2">
      <c r="E45" s="1"/>
      <c r="F45" s="1"/>
      <c r="G45" s="1"/>
      <c r="I45" s="1"/>
      <c r="J45" t="s">
        <v>36</v>
      </c>
      <c r="K45">
        <v>4</v>
      </c>
      <c r="M45">
        <v>0.86799999999999999</v>
      </c>
      <c r="N45" s="6">
        <v>0.95</v>
      </c>
      <c r="O45">
        <f t="shared" si="5"/>
        <v>0.91368421052631588</v>
      </c>
    </row>
    <row r="46" spans="1:19" x14ac:dyDescent="0.2">
      <c r="E46" s="1"/>
      <c r="F46" s="1"/>
      <c r="G46" s="1"/>
      <c r="I46" s="1"/>
      <c r="J46" t="s">
        <v>65</v>
      </c>
      <c r="K46">
        <v>5</v>
      </c>
      <c r="M46">
        <v>0.77800000000000002</v>
      </c>
      <c r="N46" s="6">
        <v>0.871</v>
      </c>
      <c r="O46">
        <f t="shared" si="5"/>
        <v>0.89322617680826644</v>
      </c>
    </row>
    <row r="47" spans="1:19" x14ac:dyDescent="0.2">
      <c r="E47" s="1"/>
      <c r="F47" s="1"/>
      <c r="G47" s="1"/>
      <c r="I47" s="1"/>
      <c r="J47" t="s">
        <v>65</v>
      </c>
      <c r="K47">
        <v>6</v>
      </c>
      <c r="M47">
        <f>0.411*2</f>
        <v>0.82199999999999995</v>
      </c>
      <c r="N47" s="6">
        <v>1.032</v>
      </c>
      <c r="O47">
        <f t="shared" si="5"/>
        <v>0.79651162790697672</v>
      </c>
      <c r="R47" t="s">
        <v>62</v>
      </c>
    </row>
    <row r="48" spans="1:19" x14ac:dyDescent="0.2">
      <c r="E48" s="1"/>
      <c r="F48" s="1"/>
      <c r="G48" s="1"/>
      <c r="I48" s="1"/>
      <c r="J48" t="s">
        <v>65</v>
      </c>
      <c r="K48">
        <v>7</v>
      </c>
      <c r="M48">
        <v>0.75600000000000001</v>
      </c>
      <c r="N48" s="6">
        <v>0.879</v>
      </c>
      <c r="O48">
        <f t="shared" si="5"/>
        <v>0.86006825938566556</v>
      </c>
    </row>
    <row r="49" spans="1:19" x14ac:dyDescent="0.2">
      <c r="E49" s="1"/>
      <c r="F49" s="1"/>
      <c r="G49" s="1"/>
      <c r="I49" s="1"/>
      <c r="J49" t="s">
        <v>65</v>
      </c>
      <c r="K49">
        <v>8</v>
      </c>
      <c r="M49">
        <v>1.3089999999999999</v>
      </c>
      <c r="R49" t="s">
        <v>69</v>
      </c>
    </row>
    <row r="50" spans="1:19" x14ac:dyDescent="0.2">
      <c r="A50">
        <f>A42+1</f>
        <v>12</v>
      </c>
      <c r="B50" t="s">
        <v>15</v>
      </c>
      <c r="C50">
        <v>6</v>
      </c>
      <c r="D50">
        <v>6</v>
      </c>
      <c r="E50" s="2">
        <v>3.89E-7</v>
      </c>
      <c r="F50" s="2">
        <v>5.1700000000000003E-2</v>
      </c>
      <c r="G50" s="2">
        <v>7.52E-6</v>
      </c>
      <c r="H50" t="s">
        <v>42</v>
      </c>
      <c r="I50">
        <v>3</v>
      </c>
      <c r="J50" t="s">
        <v>36</v>
      </c>
      <c r="K50">
        <v>1</v>
      </c>
      <c r="L50">
        <v>3</v>
      </c>
      <c r="M50">
        <v>1.585</v>
      </c>
      <c r="N50" s="6">
        <v>2.2010000000000001</v>
      </c>
      <c r="O50">
        <f t="shared" si="5"/>
        <v>0.72012721490231713</v>
      </c>
      <c r="P50">
        <f t="shared" si="3"/>
        <v>1.8927444794952681</v>
      </c>
      <c r="Q50">
        <f t="shared" si="4"/>
        <v>1.3630168105406633</v>
      </c>
      <c r="S50" t="s">
        <v>70</v>
      </c>
    </row>
    <row r="51" spans="1:19" x14ac:dyDescent="0.2">
      <c r="E51" s="2"/>
      <c r="F51" s="2"/>
      <c r="G51" s="2"/>
      <c r="J51" t="s">
        <v>33</v>
      </c>
      <c r="K51">
        <v>2</v>
      </c>
      <c r="M51">
        <v>0.72799999999999998</v>
      </c>
      <c r="N51" s="6">
        <v>0.83299999999999996</v>
      </c>
      <c r="O51">
        <f t="shared" si="5"/>
        <v>0.87394957983193278</v>
      </c>
      <c r="R51" t="s">
        <v>62</v>
      </c>
    </row>
    <row r="52" spans="1:19" x14ac:dyDescent="0.2">
      <c r="E52" s="2"/>
      <c r="F52" s="2"/>
      <c r="G52" s="2"/>
      <c r="J52" t="s">
        <v>33</v>
      </c>
      <c r="K52">
        <v>3</v>
      </c>
      <c r="M52">
        <f>0.326*2</f>
        <v>0.65200000000000002</v>
      </c>
      <c r="N52">
        <f>0.765</f>
        <v>0.76500000000000001</v>
      </c>
      <c r="O52">
        <f t="shared" si="5"/>
        <v>0.85228758169934637</v>
      </c>
      <c r="R52" t="s">
        <v>62</v>
      </c>
    </row>
    <row r="53" spans="1:19" x14ac:dyDescent="0.2">
      <c r="A53">
        <v>14</v>
      </c>
      <c r="B53" t="s">
        <v>16</v>
      </c>
      <c r="C53">
        <v>13</v>
      </c>
      <c r="D53">
        <v>4</v>
      </c>
      <c r="E53" s="2">
        <v>9.5099999999999998E-7</v>
      </c>
      <c r="F53" s="2">
        <v>4.5100000000000001E-2</v>
      </c>
      <c r="G53" s="2">
        <v>8.2099999999999993E-6</v>
      </c>
      <c r="H53" t="s">
        <v>44</v>
      </c>
      <c r="I53" t="s">
        <v>43</v>
      </c>
      <c r="J53" t="s">
        <v>33</v>
      </c>
      <c r="K53">
        <v>1</v>
      </c>
      <c r="L53">
        <v>3</v>
      </c>
      <c r="M53">
        <v>1.341</v>
      </c>
      <c r="N53" s="6">
        <v>1.407</v>
      </c>
      <c r="O53">
        <f t="shared" si="5"/>
        <v>0.95309168443496795</v>
      </c>
      <c r="P53">
        <f t="shared" si="3"/>
        <v>2.2371364653243848</v>
      </c>
      <c r="Q53">
        <f t="shared" si="4"/>
        <v>2.1321961620469083</v>
      </c>
      <c r="R53" t="s">
        <v>71</v>
      </c>
    </row>
    <row r="54" spans="1:19" x14ac:dyDescent="0.2">
      <c r="E54" s="2"/>
      <c r="F54" s="2"/>
      <c r="G54" s="2"/>
      <c r="J54" t="s">
        <v>33</v>
      </c>
      <c r="K54">
        <v>2</v>
      </c>
      <c r="M54">
        <v>0.63300000000000001</v>
      </c>
      <c r="N54" s="6">
        <v>0.89900000000000002</v>
      </c>
      <c r="O54">
        <f t="shared" si="5"/>
        <v>0.70411568409343717</v>
      </c>
      <c r="R54" t="s">
        <v>63</v>
      </c>
    </row>
    <row r="55" spans="1:19" x14ac:dyDescent="0.2">
      <c r="E55" s="2"/>
      <c r="F55" s="2"/>
      <c r="G55" s="2"/>
      <c r="J55" t="s">
        <v>33</v>
      </c>
      <c r="K55">
        <v>3</v>
      </c>
      <c r="M55">
        <v>1.1759999999999999</v>
      </c>
      <c r="N55" s="6">
        <v>1.27</v>
      </c>
      <c r="O55">
        <f t="shared" si="5"/>
        <v>0.92598425196850387</v>
      </c>
    </row>
    <row r="56" spans="1:19" x14ac:dyDescent="0.2">
      <c r="E56" s="2"/>
      <c r="F56" s="2"/>
      <c r="G56" s="2"/>
      <c r="J56" t="s">
        <v>33</v>
      </c>
      <c r="K56">
        <v>4</v>
      </c>
      <c r="M56">
        <v>0.999</v>
      </c>
      <c r="N56">
        <f>0.638*2</f>
        <v>1.276</v>
      </c>
      <c r="O56">
        <f t="shared" si="5"/>
        <v>0.7829153605015674</v>
      </c>
      <c r="R56" t="s">
        <v>62</v>
      </c>
    </row>
    <row r="57" spans="1:19" s="7" customFormat="1" x14ac:dyDescent="0.2">
      <c r="A57" s="7">
        <f>A53+1</f>
        <v>15</v>
      </c>
      <c r="B57" s="7" t="s">
        <v>17</v>
      </c>
      <c r="C57" s="7">
        <v>11</v>
      </c>
      <c r="D57" s="7">
        <v>1</v>
      </c>
      <c r="E57" s="5">
        <v>1.44E-6</v>
      </c>
      <c r="F57" s="4">
        <v>2.07E-2</v>
      </c>
      <c r="G57" s="4">
        <v>6.9700000000000002E-6</v>
      </c>
      <c r="I57" s="7">
        <v>1</v>
      </c>
      <c r="J57" s="7" t="s">
        <v>33</v>
      </c>
      <c r="R57" s="7" t="s">
        <v>74</v>
      </c>
    </row>
    <row r="58" spans="1:19" s="7" customFormat="1" x14ac:dyDescent="0.2">
      <c r="E58" s="5"/>
      <c r="F58" s="4"/>
      <c r="G58" s="4"/>
    </row>
    <row r="59" spans="1:19" s="7" customFormat="1" x14ac:dyDescent="0.2">
      <c r="A59" s="7" t="s">
        <v>75</v>
      </c>
      <c r="E59" s="5"/>
      <c r="F59" s="4"/>
      <c r="G59" s="4"/>
    </row>
    <row r="60" spans="1:19" x14ac:dyDescent="0.2">
      <c r="A60" s="8" t="s">
        <v>54</v>
      </c>
      <c r="B60" s="8" t="s">
        <v>49</v>
      </c>
    </row>
    <row r="61" spans="1:19" x14ac:dyDescent="0.2">
      <c r="A61" s="8" t="s">
        <v>52</v>
      </c>
      <c r="B61" s="8" t="s">
        <v>51</v>
      </c>
    </row>
    <row r="62" spans="1:19" x14ac:dyDescent="0.2">
      <c r="A62" s="8" t="s">
        <v>46</v>
      </c>
      <c r="B62" s="8" t="s">
        <v>47</v>
      </c>
    </row>
    <row r="63" spans="1:19" x14ac:dyDescent="0.2">
      <c r="A63" s="8" t="s">
        <v>48</v>
      </c>
      <c r="B63" s="8" t="s">
        <v>53</v>
      </c>
    </row>
  </sheetData>
  <sortState xmlns:xlrd2="http://schemas.microsoft.com/office/spreadsheetml/2017/richdata2" ref="A3:I63">
    <sortCondition ref="A3:A63"/>
  </sortState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4F3B-D530-8F4E-8B16-0CD719C255BA}">
  <dimension ref="A1:K15"/>
  <sheetViews>
    <sheetView topLeftCell="B1" zoomScale="170" workbookViewId="0">
      <selection activeCell="E10" sqref="E10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21</v>
      </c>
      <c r="I1" t="s">
        <v>23</v>
      </c>
      <c r="J1" t="s">
        <v>24</v>
      </c>
      <c r="K1" t="s">
        <v>31</v>
      </c>
    </row>
    <row r="2" spans="1:11" x14ac:dyDescent="0.2">
      <c r="A2">
        <v>4</v>
      </c>
      <c r="B2" t="s">
        <v>7</v>
      </c>
      <c r="C2">
        <v>6</v>
      </c>
      <c r="D2">
        <v>12</v>
      </c>
      <c r="E2" s="4">
        <v>5.4300000000000003E-7</v>
      </c>
      <c r="F2" s="5">
        <v>1.9400000000000001E-2</v>
      </c>
      <c r="G2" s="4">
        <v>8.1799999999999996E-6</v>
      </c>
      <c r="H2" t="s">
        <v>29</v>
      </c>
      <c r="I2" t="s">
        <v>30</v>
      </c>
      <c r="J2">
        <v>5</v>
      </c>
      <c r="K2" t="s">
        <v>34</v>
      </c>
    </row>
    <row r="3" spans="1:11" x14ac:dyDescent="0.2">
      <c r="A3">
        <f>A2+1</f>
        <v>5</v>
      </c>
      <c r="B3" t="s">
        <v>14</v>
      </c>
      <c r="C3">
        <v>9</v>
      </c>
      <c r="D3">
        <v>2</v>
      </c>
      <c r="E3" s="4">
        <v>3.9899999999999999E-6</v>
      </c>
      <c r="F3" s="4">
        <v>2.18E-2</v>
      </c>
      <c r="G3" s="4">
        <v>7.9899999999999997E-6</v>
      </c>
      <c r="I3" s="1" t="s">
        <v>40</v>
      </c>
      <c r="J3" s="1">
        <v>5</v>
      </c>
      <c r="K3" t="s">
        <v>41</v>
      </c>
    </row>
    <row r="4" spans="1:11" x14ac:dyDescent="0.2">
      <c r="A4">
        <v>10</v>
      </c>
      <c r="B4" t="s">
        <v>13</v>
      </c>
      <c r="C4">
        <v>3</v>
      </c>
      <c r="D4">
        <v>1</v>
      </c>
      <c r="E4" s="2">
        <v>1.8099999999999999E-7</v>
      </c>
      <c r="F4" s="2">
        <v>2.6599999999999999E-2</v>
      </c>
      <c r="G4" s="1">
        <v>8.1799999999999996E-6</v>
      </c>
      <c r="I4">
        <v>1</v>
      </c>
      <c r="K4" t="s">
        <v>32</v>
      </c>
    </row>
    <row r="5" spans="1:11" x14ac:dyDescent="0.2">
      <c r="A5">
        <v>2</v>
      </c>
      <c r="B5" t="s">
        <v>5</v>
      </c>
      <c r="C5">
        <v>6</v>
      </c>
      <c r="D5">
        <v>3</v>
      </c>
      <c r="E5" s="2">
        <v>3.2399999999999999E-7</v>
      </c>
      <c r="F5" s="1">
        <v>1.9900000000000001E-2</v>
      </c>
      <c r="G5" s="3">
        <v>8.9700000000000005E-6</v>
      </c>
      <c r="I5" t="s">
        <v>27</v>
      </c>
      <c r="J5">
        <v>6</v>
      </c>
      <c r="K5" t="s">
        <v>32</v>
      </c>
    </row>
    <row r="6" spans="1:11" x14ac:dyDescent="0.2">
      <c r="A6">
        <v>5</v>
      </c>
      <c r="B6" t="s">
        <v>8</v>
      </c>
      <c r="C6">
        <v>6</v>
      </c>
      <c r="D6">
        <v>4</v>
      </c>
      <c r="E6" s="1">
        <v>3.8500000000000002E-7</v>
      </c>
      <c r="F6" s="2">
        <v>1.9699999999999999E-2</v>
      </c>
      <c r="G6" s="2">
        <v>7.4900000000000003E-6</v>
      </c>
      <c r="I6" t="s">
        <v>35</v>
      </c>
      <c r="J6">
        <v>6</v>
      </c>
      <c r="K6" t="s">
        <v>32</v>
      </c>
    </row>
    <row r="7" spans="1:11" x14ac:dyDescent="0.2">
      <c r="A7">
        <v>7</v>
      </c>
      <c r="B7" t="s">
        <v>10</v>
      </c>
      <c r="C7">
        <v>4</v>
      </c>
      <c r="D7">
        <v>1</v>
      </c>
      <c r="E7" s="5">
        <v>2.5800000000000001E-7</v>
      </c>
      <c r="F7" s="4">
        <v>2.6800000000000001E-2</v>
      </c>
      <c r="G7" s="4">
        <v>7.0600000000000002E-6</v>
      </c>
      <c r="I7">
        <v>1</v>
      </c>
      <c r="K7" t="s">
        <v>33</v>
      </c>
    </row>
    <row r="8" spans="1:11" x14ac:dyDescent="0.2">
      <c r="A8">
        <v>14</v>
      </c>
      <c r="B8" t="s">
        <v>16</v>
      </c>
      <c r="C8">
        <v>13</v>
      </c>
      <c r="D8">
        <v>4</v>
      </c>
      <c r="E8" s="5">
        <v>9.5099999999999998E-7</v>
      </c>
      <c r="F8" s="5">
        <v>4.5100000000000001E-2</v>
      </c>
      <c r="G8" s="5">
        <v>8.2099999999999993E-6</v>
      </c>
      <c r="H8" t="s">
        <v>44</v>
      </c>
      <c r="I8" t="s">
        <v>43</v>
      </c>
      <c r="J8">
        <v>5</v>
      </c>
      <c r="K8" t="s">
        <v>33</v>
      </c>
    </row>
    <row r="9" spans="1:11" x14ac:dyDescent="0.2">
      <c r="A9">
        <f>A8+1</f>
        <v>15</v>
      </c>
      <c r="B9" t="s">
        <v>17</v>
      </c>
      <c r="C9">
        <v>11</v>
      </c>
      <c r="D9">
        <v>1</v>
      </c>
      <c r="E9" s="5">
        <v>1.44E-6</v>
      </c>
      <c r="F9" s="4">
        <v>2.07E-2</v>
      </c>
      <c r="G9" s="4">
        <v>6.9700000000000002E-6</v>
      </c>
      <c r="I9">
        <v>1</v>
      </c>
      <c r="J9">
        <v>6</v>
      </c>
      <c r="K9" t="s">
        <v>33</v>
      </c>
    </row>
    <row r="10" spans="1:11" x14ac:dyDescent="0.2">
      <c r="A10">
        <v>8</v>
      </c>
      <c r="B10" t="s">
        <v>11</v>
      </c>
      <c r="C10">
        <v>11</v>
      </c>
      <c r="D10">
        <v>5</v>
      </c>
      <c r="E10" s="4">
        <v>1.68E-6</v>
      </c>
      <c r="F10" s="5">
        <v>2.98E-2</v>
      </c>
      <c r="G10" s="4">
        <v>7.4800000000000004E-6</v>
      </c>
      <c r="H10" t="s">
        <v>22</v>
      </c>
      <c r="I10">
        <v>2</v>
      </c>
      <c r="J10" t="s">
        <v>37</v>
      </c>
      <c r="K10" t="s">
        <v>33</v>
      </c>
    </row>
    <row r="11" spans="1:11" x14ac:dyDescent="0.2">
      <c r="A11">
        <v>1</v>
      </c>
      <c r="B11" t="s">
        <v>4</v>
      </c>
      <c r="C11">
        <v>7</v>
      </c>
      <c r="D11">
        <v>1</v>
      </c>
      <c r="E11" s="4">
        <v>2.88E-6</v>
      </c>
      <c r="F11" s="5">
        <v>1.4500000000000001E-2</v>
      </c>
      <c r="G11" s="5">
        <v>1.01E-5</v>
      </c>
      <c r="I11" t="s">
        <v>26</v>
      </c>
      <c r="J11" t="s">
        <v>25</v>
      </c>
      <c r="K11" t="s">
        <v>33</v>
      </c>
    </row>
    <row r="12" spans="1:11" x14ac:dyDescent="0.2">
      <c r="A12">
        <f>A11+1</f>
        <v>2</v>
      </c>
      <c r="B12" t="s">
        <v>15</v>
      </c>
      <c r="C12">
        <v>6</v>
      </c>
      <c r="D12">
        <v>6</v>
      </c>
      <c r="E12" s="2">
        <v>3.89E-7</v>
      </c>
      <c r="F12" s="2">
        <v>5.1700000000000003E-2</v>
      </c>
      <c r="G12" s="2">
        <v>7.52E-6</v>
      </c>
      <c r="H12" t="s">
        <v>42</v>
      </c>
      <c r="I12">
        <v>3</v>
      </c>
      <c r="K12" t="s">
        <v>36</v>
      </c>
    </row>
    <row r="13" spans="1:11" x14ac:dyDescent="0.2">
      <c r="A13">
        <v>9</v>
      </c>
      <c r="B13" t="s">
        <v>12</v>
      </c>
      <c r="C13">
        <v>10</v>
      </c>
      <c r="D13">
        <v>2</v>
      </c>
      <c r="E13" s="2">
        <v>1.4100000000000001E-6</v>
      </c>
      <c r="F13" s="2">
        <v>2.1499999999999998E-2</v>
      </c>
      <c r="G13" s="2">
        <v>6.99E-6</v>
      </c>
      <c r="H13" t="s">
        <v>38</v>
      </c>
      <c r="I13" s="2" t="s">
        <v>39</v>
      </c>
      <c r="J13" s="2">
        <v>5</v>
      </c>
      <c r="K13" t="s">
        <v>36</v>
      </c>
    </row>
    <row r="14" spans="1:11" x14ac:dyDescent="0.2">
      <c r="A14">
        <v>6</v>
      </c>
      <c r="B14" t="s">
        <v>9</v>
      </c>
      <c r="C14">
        <v>12</v>
      </c>
      <c r="D14">
        <v>4</v>
      </c>
      <c r="E14" s="1">
        <v>3.0400000000000001E-6</v>
      </c>
      <c r="F14" s="2">
        <v>3.0200000000000001E-2</v>
      </c>
      <c r="G14" s="2">
        <v>7.8800000000000008E-6</v>
      </c>
      <c r="H14" t="s">
        <v>22</v>
      </c>
      <c r="I14">
        <v>1</v>
      </c>
      <c r="J14">
        <v>6</v>
      </c>
      <c r="K14" t="s">
        <v>36</v>
      </c>
    </row>
    <row r="15" spans="1:11" x14ac:dyDescent="0.2">
      <c r="A15">
        <v>3</v>
      </c>
      <c r="B15" t="s">
        <v>6</v>
      </c>
      <c r="C15">
        <v>7</v>
      </c>
      <c r="D15">
        <v>4</v>
      </c>
      <c r="E15" s="2">
        <v>2.1899999999999999E-2</v>
      </c>
      <c r="F15" s="3">
        <v>8.3999999999999992E-6</v>
      </c>
      <c r="G15" s="1">
        <v>4.0799999999999999E-6</v>
      </c>
      <c r="I15" t="s">
        <v>28</v>
      </c>
      <c r="J15">
        <v>5</v>
      </c>
      <c r="K15" t="s">
        <v>45</v>
      </c>
    </row>
  </sheetData>
  <sortState xmlns:xlrd2="http://schemas.microsoft.com/office/spreadsheetml/2017/richdata2" ref="A2:K17">
    <sortCondition ref="K2:K17"/>
    <sortCondition ref="E2:E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Sheet1</vt:lpstr>
      <vt:lpstr>sorted by U238</vt:lpstr>
      <vt:lpstr>IMAGEJ ANALYSIS</vt:lpstr>
      <vt:lpstr>sorted by opacity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cshepp</dc:creator>
  <cp:lastModifiedBy>cshepp</cp:lastModifiedBy>
  <dcterms:created xsi:type="dcterms:W3CDTF">2025-09-07T01:24:32Z</dcterms:created>
  <dcterms:modified xsi:type="dcterms:W3CDTF">2025-09-11T00:05:40Z</dcterms:modified>
</cp:coreProperties>
</file>